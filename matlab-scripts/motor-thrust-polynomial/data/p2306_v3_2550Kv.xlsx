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Run 1" sheetId="1" state="visible" r:id="rId3"/>
    <sheet name="Run 2" sheetId="2" state="visible" r:id="rId4"/>
    <sheet name="Run 3" sheetId="3" state="visible" r:id="rId5"/>
    <sheet name="Run 4" sheetId="4" state="visible" r:id="rId6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<sst xmlns="http://schemas.openxmlformats.org/spreadsheetml/2006/main" count="28" uniqueCount="7">
  <si>
    <t xml:space="preserve">Battery
Voltage
(V)</t>
  </si>
  <si>
    <t xml:space="preserve">Control
Input</t>
  </si>
  <si>
    <t xml:space="preserve">Tare
Value
(g)</t>
  </si>
  <si>
    <t xml:space="preserve">Steady
Thrust
(g)</t>
  </si>
  <si>
    <t xml:space="preserve">Corrected
Thrust
(g)</t>
  </si>
  <si>
    <t xml:space="preserve">Corrected
Thrust
(Kg)</t>
  </si>
  <si>
    <t xml:space="preserve">Corrected
Thrust
(N)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</si>
</sst>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Serif"/>
      <family val="1"/>
      <charset val="1"/>
    </font>
  </fonts>
  <fills count="3">
    <fill>
      <patternFill patternType="none"/>
    </fill>
    <fill>
      <patternFill patternType="gray125"/>
    </fill>
    <fill>
      <patternFill patternType="solid">
        <fgColor rgb="FF999999"/>
        <bgColor rgb="FF80808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21" activeCellId="0" sqref="D21"/>
    </sheetView>
  </sheetViews>
  <sheetFormatPr defaultColWidth="11.5703125" defaultRowHeight="12.8" customHeight="false" zeroHeight="false" outlineLevelRow="0" outlineLevelCol="0"/>
  <cols>
    <col collapsed="false" customWidth="true" hidden="false" outlineLevel="0" max="1" min="1" style="1" width="24.17"/>
    <col collapsed="false" customWidth="true" hidden="false" outlineLevel="0" max="2" min="2" style="1" width="24.45"/>
    <col collapsed="false" customWidth="true" hidden="false" outlineLevel="0" max="3" min="3" style="1" width="25.14"/>
    <col collapsed="false" customWidth="true" hidden="false" outlineLevel="0" max="4" min="4" style="1" width="24.73"/>
    <col collapsed="false" customWidth="true" hidden="false" outlineLevel="0" max="5" min="5" style="1" width="21.67"/>
    <col collapsed="false" customWidth="true" hidden="false" outlineLevel="0" max="6" min="6" style="1" width="19.17"/>
    <col collapsed="false" customWidth="true" hidden="false" outlineLevel="0" max="7" min="7" style="1" width="20.42"/>
  </cols>
  <sheetData>
    <row r="1" customFormat="false" ht="71.6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customFormat="false" ht="12.8" hidden="false" customHeight="false" outlineLevel="0" collapsed="false">
      <c r="A2" s="1" t="n">
        <v>16.4</v>
      </c>
      <c r="B2" s="0" t="n">
        <v>0.05</v>
      </c>
      <c r="C2" s="1" t="n">
        <v>0</v>
      </c>
      <c r="D2" s="0" t="n">
        <v>33</v>
      </c>
      <c r="E2" s="1" t="n">
        <f aca="false">D2-C2</f>
        <v>33</v>
      </c>
      <c r="F2" s="1" t="n">
        <f aca="false">E2/1000</f>
        <v>0.033</v>
      </c>
      <c r="G2" s="1" t="n">
        <f aca="false">F2*9.81</f>
        <v>0.32373</v>
      </c>
    </row>
    <row r="3" customFormat="false" ht="12.8" hidden="false" customHeight="false" outlineLevel="0" collapsed="false">
      <c r="A3" s="1" t="n">
        <v>16.4</v>
      </c>
      <c r="B3" s="0" t="n">
        <v>0.1</v>
      </c>
      <c r="C3" s="1" t="n">
        <v>0</v>
      </c>
      <c r="D3" s="0" t="n">
        <v>60</v>
      </c>
      <c r="E3" s="1" t="n">
        <f aca="false">D3-C3</f>
        <v>60</v>
      </c>
      <c r="F3" s="1" t="n">
        <f aca="false">E3/1000</f>
        <v>0.06</v>
      </c>
      <c r="G3" s="1" t="n">
        <f aca="false">F3*9.81</f>
        <v>0.5886</v>
      </c>
    </row>
    <row r="4" customFormat="false" ht="12.8" hidden="false" customHeight="false" outlineLevel="0" collapsed="false">
      <c r="A4" s="1" t="n">
        <v>16.4</v>
      </c>
      <c r="B4" s="0" t="n">
        <v>0.15</v>
      </c>
      <c r="C4" s="1" t="n">
        <v>0</v>
      </c>
      <c r="D4" s="0" t="n">
        <v>90</v>
      </c>
      <c r="E4" s="1" t="n">
        <f aca="false">D4-C4</f>
        <v>90</v>
      </c>
      <c r="F4" s="1" t="n">
        <f aca="false">E4/1000</f>
        <v>0.09</v>
      </c>
      <c r="G4" s="1" t="n">
        <f aca="false">F4*9.81</f>
        <v>0.8829</v>
      </c>
    </row>
    <row r="5" customFormat="false" ht="12.8" hidden="false" customHeight="false" outlineLevel="0" collapsed="false">
      <c r="A5" s="1" t="n">
        <f aca="false">A2</f>
        <v>16.4</v>
      </c>
      <c r="B5" s="0" t="n">
        <v>0.2</v>
      </c>
      <c r="C5" s="1" t="n">
        <v>0</v>
      </c>
      <c r="D5" s="0" t="n">
        <v>130</v>
      </c>
      <c r="E5" s="1" t="n">
        <f aca="false">D5-C5</f>
        <v>130</v>
      </c>
      <c r="F5" s="1" t="n">
        <f aca="false">E5/1000</f>
        <v>0.13</v>
      </c>
      <c r="G5" s="1" t="n">
        <f aca="false">F5*9.81</f>
        <v>1.2753</v>
      </c>
    </row>
    <row r="6" customFormat="false" ht="12.8" hidden="false" customHeight="false" outlineLevel="0" collapsed="false">
      <c r="A6" s="1" t="n">
        <f aca="false">A3</f>
        <v>16.4</v>
      </c>
      <c r="B6" s="0" t="n">
        <v>0.25</v>
      </c>
      <c r="C6" s="1" t="n">
        <v>0</v>
      </c>
      <c r="D6" s="0" t="n">
        <v>185</v>
      </c>
      <c r="E6" s="1" t="n">
        <f aca="false">D6-C6</f>
        <v>185</v>
      </c>
      <c r="F6" s="1" t="n">
        <f aca="false">E6/1000</f>
        <v>0.185</v>
      </c>
      <c r="G6" s="1" t="n">
        <f aca="false">F6*9.81</f>
        <v>1.81485</v>
      </c>
    </row>
    <row r="7" customFormat="false" ht="12.8" hidden="false" customHeight="false" outlineLevel="0" collapsed="false">
      <c r="A7" s="1" t="n">
        <f aca="false">A4</f>
        <v>16.4</v>
      </c>
      <c r="B7" s="0" t="n">
        <v>0.3</v>
      </c>
      <c r="C7" s="1" t="n">
        <v>0</v>
      </c>
      <c r="D7" s="0" t="n">
        <v>228</v>
      </c>
      <c r="E7" s="1" t="n">
        <f aca="false">D7-C7</f>
        <v>228</v>
      </c>
      <c r="F7" s="1" t="n">
        <f aca="false">E7/1000</f>
        <v>0.228</v>
      </c>
      <c r="G7" s="1" t="n">
        <f aca="false">F7*9.81</f>
        <v>2.23668</v>
      </c>
    </row>
    <row r="8" customFormat="false" ht="12.8" hidden="false" customHeight="false" outlineLevel="0" collapsed="false">
      <c r="A8" s="1" t="n">
        <f aca="false">A5</f>
        <v>16.4</v>
      </c>
      <c r="B8" s="0" t="n">
        <v>0.35</v>
      </c>
      <c r="C8" s="1" t="n">
        <v>0</v>
      </c>
      <c r="D8" s="0" t="n">
        <v>288</v>
      </c>
      <c r="E8" s="1" t="n">
        <f aca="false">D8-C8</f>
        <v>288</v>
      </c>
      <c r="F8" s="1" t="n">
        <f aca="false">E8/1000</f>
        <v>0.288</v>
      </c>
      <c r="G8" s="1" t="n">
        <f aca="false">F8*9.81</f>
        <v>2.82528</v>
      </c>
    </row>
    <row r="9" customFormat="false" ht="12.8" hidden="false" customHeight="false" outlineLevel="0" collapsed="false">
      <c r="A9" s="1" t="n">
        <f aca="false">A6</f>
        <v>16.4</v>
      </c>
      <c r="B9" s="0" t="n">
        <v>0.4</v>
      </c>
      <c r="C9" s="1" t="n">
        <v>0</v>
      </c>
      <c r="D9" s="0" t="n">
        <v>341</v>
      </c>
      <c r="E9" s="1" t="n">
        <f aca="false">D9-C9</f>
        <v>341</v>
      </c>
      <c r="F9" s="1" t="n">
        <f aca="false">E9/1000</f>
        <v>0.341</v>
      </c>
      <c r="G9" s="1" t="n">
        <f aca="false">F9*9.81</f>
        <v>3.34521</v>
      </c>
    </row>
    <row r="10" customFormat="false" ht="12.8" hidden="false" customHeight="false" outlineLevel="0" collapsed="false">
      <c r="A10" s="1" t="n">
        <f aca="false">A7</f>
        <v>16.4</v>
      </c>
      <c r="B10" s="0" t="n">
        <v>0.45</v>
      </c>
      <c r="C10" s="1" t="n">
        <v>0</v>
      </c>
      <c r="D10" s="0" t="n">
        <v>418</v>
      </c>
      <c r="E10" s="1" t="n">
        <f aca="false">D10-C10</f>
        <v>418</v>
      </c>
      <c r="F10" s="1" t="n">
        <f aca="false">E10/1000</f>
        <v>0.418</v>
      </c>
      <c r="G10" s="1" t="n">
        <f aca="false">F10*9.81</f>
        <v>4.10058</v>
      </c>
    </row>
    <row r="11" customFormat="false" ht="12.8" hidden="false" customHeight="false" outlineLevel="0" collapsed="false">
      <c r="A11" s="1" t="n">
        <f aca="false">A8</f>
        <v>16.4</v>
      </c>
      <c r="B11" s="0" t="n">
        <v>0.5</v>
      </c>
      <c r="C11" s="1" t="n">
        <v>0</v>
      </c>
      <c r="D11" s="0" t="n">
        <v>504</v>
      </c>
      <c r="E11" s="1" t="n">
        <f aca="false">D11-C11</f>
        <v>504</v>
      </c>
      <c r="F11" s="1" t="n">
        <f aca="false">E11/1000</f>
        <v>0.504</v>
      </c>
      <c r="G11" s="1" t="n">
        <f aca="false">F11*9.81</f>
        <v>4.94424</v>
      </c>
    </row>
    <row r="12" customFormat="false" ht="12.8" hidden="false" customHeight="false" outlineLevel="0" collapsed="false">
      <c r="A12" s="1" t="n">
        <f aca="false">A9</f>
        <v>16.4</v>
      </c>
      <c r="B12" s="0" t="n">
        <v>0.55</v>
      </c>
      <c r="C12" s="1" t="n">
        <v>0</v>
      </c>
      <c r="D12" s="0" t="n">
        <v>573</v>
      </c>
      <c r="E12" s="1" t="n">
        <f aca="false">D12-C12</f>
        <v>573</v>
      </c>
      <c r="F12" s="1" t="n">
        <f aca="false">E12/1000</f>
        <v>0.573</v>
      </c>
      <c r="G12" s="1" t="n">
        <f aca="false">F12*9.81</f>
        <v>5.62113</v>
      </c>
    </row>
    <row r="13" customFormat="false" ht="12.8" hidden="false" customHeight="false" outlineLevel="0" collapsed="false">
      <c r="A13" s="1" t="n">
        <f aca="false">A10</f>
        <v>16.4</v>
      </c>
      <c r="B13" s="0" t="n">
        <v>0.6</v>
      </c>
      <c r="C13" s="1" t="n">
        <v>0</v>
      </c>
      <c r="D13" s="0" t="n">
        <v>643</v>
      </c>
      <c r="E13" s="1" t="n">
        <f aca="false">D13-C13</f>
        <v>643</v>
      </c>
      <c r="F13" s="1" t="n">
        <f aca="false">E13/1000</f>
        <v>0.643</v>
      </c>
      <c r="G13" s="1" t="n">
        <f aca="false">F13*9.81</f>
        <v>6.30783</v>
      </c>
    </row>
    <row r="14" customFormat="false" ht="12.8" hidden="false" customHeight="false" outlineLevel="0" collapsed="false">
      <c r="A14" s="1" t="n">
        <f aca="false">A11</f>
        <v>16.4</v>
      </c>
      <c r="B14" s="0" t="n">
        <v>0.65</v>
      </c>
      <c r="C14" s="1" t="n">
        <v>0</v>
      </c>
      <c r="D14" s="0" t="n">
        <v>735</v>
      </c>
      <c r="E14" s="1" t="n">
        <f aca="false">D14-C14</f>
        <v>735</v>
      </c>
      <c r="F14" s="1" t="n">
        <f aca="false">E14/1000</f>
        <v>0.735</v>
      </c>
      <c r="G14" s="1" t="n">
        <f aca="false">F14*9.81</f>
        <v>7.21035</v>
      </c>
    </row>
    <row r="15" customFormat="false" ht="12.8" hidden="false" customHeight="false" outlineLevel="0" collapsed="false">
      <c r="A15" s="1" t="n">
        <f aca="false">A12</f>
        <v>16.4</v>
      </c>
      <c r="B15" s="0" t="n">
        <v>0.7</v>
      </c>
      <c r="C15" s="1" t="n">
        <v>0</v>
      </c>
      <c r="D15" s="0" t="n">
        <v>820</v>
      </c>
      <c r="E15" s="1" t="n">
        <f aca="false">D15-C15</f>
        <v>820</v>
      </c>
      <c r="F15" s="1" t="n">
        <f aca="false">E15/1000</f>
        <v>0.82</v>
      </c>
      <c r="G15" s="1" t="n">
        <f aca="false">F15*9.81</f>
        <v>8.0442</v>
      </c>
    </row>
    <row r="16" customFormat="false" ht="12.8" hidden="false" customHeight="false" outlineLevel="0" collapsed="false">
      <c r="A16" s="1" t="n">
        <f aca="false">A13</f>
        <v>16.4</v>
      </c>
      <c r="B16" s="0" t="n">
        <v>0.75</v>
      </c>
      <c r="C16" s="1" t="n">
        <v>0</v>
      </c>
      <c r="D16" s="0" t="n">
        <v>885</v>
      </c>
      <c r="E16" s="1" t="n">
        <f aca="false">D16-C16</f>
        <v>885</v>
      </c>
      <c r="F16" s="1" t="n">
        <f aca="false">E16/1000</f>
        <v>0.885</v>
      </c>
      <c r="G16" s="1" t="n">
        <f aca="false">F16*9.81</f>
        <v>8.68185</v>
      </c>
    </row>
    <row r="17" customFormat="false" ht="12.8" hidden="false" customHeight="false" outlineLevel="0" collapsed="false">
      <c r="A17" s="1" t="n">
        <f aca="false">A14</f>
        <v>16.4</v>
      </c>
      <c r="B17" s="0" t="n">
        <v>0.8</v>
      </c>
      <c r="C17" s="1" t="n">
        <v>0</v>
      </c>
      <c r="D17" s="0" t="n">
        <v>930</v>
      </c>
      <c r="E17" s="1" t="n">
        <f aca="false">D17-C17</f>
        <v>930</v>
      </c>
      <c r="F17" s="1" t="n">
        <f aca="false">E17/1000</f>
        <v>0.93</v>
      </c>
      <c r="G17" s="1" t="n">
        <f aca="false">F17*9.81</f>
        <v>9.1233</v>
      </c>
    </row>
    <row r="18" customFormat="false" ht="12.8" hidden="false" customHeight="false" outlineLevel="0" collapsed="false">
      <c r="A18" s="1" t="n">
        <f aca="false">A15</f>
        <v>16.4</v>
      </c>
      <c r="B18" s="0" t="n">
        <v>0.85</v>
      </c>
      <c r="C18" s="1" t="n">
        <v>0</v>
      </c>
      <c r="D18" s="0" t="n">
        <v>990</v>
      </c>
      <c r="E18" s="1" t="n">
        <f aca="false">D18-C18</f>
        <v>990</v>
      </c>
      <c r="F18" s="1" t="n">
        <f aca="false">E18/1000</f>
        <v>0.99</v>
      </c>
      <c r="G18" s="1" t="n">
        <f aca="false">F18*9.81</f>
        <v>9.7119</v>
      </c>
    </row>
    <row r="19" customFormat="false" ht="12.8" hidden="false" customHeight="false" outlineLevel="0" collapsed="false">
      <c r="A19" s="1" t="n">
        <f aca="false">A16</f>
        <v>16.4</v>
      </c>
      <c r="B19" s="0" t="n">
        <v>0.9</v>
      </c>
      <c r="C19" s="1" t="n">
        <v>0</v>
      </c>
      <c r="D19" s="0" t="n">
        <v>988</v>
      </c>
      <c r="E19" s="1" t="n">
        <f aca="false">D19-C19</f>
        <v>988</v>
      </c>
      <c r="F19" s="1" t="n">
        <f aca="false">E19/1000</f>
        <v>0.988</v>
      </c>
      <c r="G19" s="1" t="n">
        <f aca="false">F19*9.81</f>
        <v>9.69228</v>
      </c>
    </row>
    <row r="20" customFormat="false" ht="12.8" hidden="false" customHeight="false" outlineLevel="0" collapsed="false">
      <c r="A20" s="1" t="n">
        <f aca="false">A17</f>
        <v>16.4</v>
      </c>
      <c r="B20" s="0" t="n">
        <v>0.95</v>
      </c>
      <c r="C20" s="1" t="n">
        <v>0</v>
      </c>
      <c r="D20" s="0" t="n">
        <v>988</v>
      </c>
      <c r="E20" s="1" t="n">
        <f aca="false">D20-C20</f>
        <v>988</v>
      </c>
      <c r="F20" s="1" t="n">
        <f aca="false">E20/1000</f>
        <v>0.988</v>
      </c>
      <c r="G20" s="1" t="n">
        <f aca="false">F20*9.81</f>
        <v>9.69228</v>
      </c>
    </row>
    <row r="21" customFormat="false" ht="12.8" hidden="false" customHeight="false" outlineLevel="0" collapsed="false">
      <c r="A21" s="1" t="n">
        <f aca="false">A18</f>
        <v>16.4</v>
      </c>
      <c r="B21" s="0" t="n">
        <v>1</v>
      </c>
      <c r="C21" s="1" t="n">
        <v>0</v>
      </c>
      <c r="D21" s="0" t="n">
        <v>995</v>
      </c>
      <c r="E21" s="1" t="n">
        <f aca="false">D21-C21</f>
        <v>995</v>
      </c>
      <c r="F21" s="1" t="n">
        <f aca="false">E21/1000</f>
        <v>0.995</v>
      </c>
      <c r="G21" s="1" t="n">
        <f aca="false">F21*9.81</f>
        <v>9.76095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21" activeCellId="0" sqref="D21"/>
    </sheetView>
  </sheetViews>
  <sheetFormatPr defaultColWidth="11.5703125" defaultRowHeight="12.8" customHeight="false" zeroHeight="false" outlineLevelRow="0" outlineLevelCol="0"/>
  <cols>
    <col collapsed="false" customWidth="true" hidden="false" outlineLevel="0" max="1" min="1" style="1" width="24.17"/>
    <col collapsed="false" customWidth="true" hidden="false" outlineLevel="0" max="2" min="2" style="1" width="24.45"/>
    <col collapsed="false" customWidth="true" hidden="false" outlineLevel="0" max="3" min="3" style="1" width="25.14"/>
    <col collapsed="false" customWidth="true" hidden="false" outlineLevel="0" max="4" min="4" style="1" width="24.73"/>
    <col collapsed="false" customWidth="true" hidden="false" outlineLevel="0" max="5" min="5" style="1" width="21.67"/>
    <col collapsed="false" customWidth="true" hidden="false" outlineLevel="0" max="6" min="6" style="1" width="19.45"/>
    <col collapsed="false" customWidth="true" hidden="false" outlineLevel="0" max="7" min="7" style="1" width="16.26"/>
  </cols>
  <sheetData>
    <row r="1" customFormat="false" ht="71.6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customFormat="false" ht="12.8" hidden="false" customHeight="false" outlineLevel="0" collapsed="false">
      <c r="A2" s="1" t="n">
        <v>16.4</v>
      </c>
      <c r="B2" s="1" t="n">
        <v>0.05</v>
      </c>
      <c r="C2" s="1" t="n">
        <v>0</v>
      </c>
      <c r="D2" s="0" t="n">
        <v>31</v>
      </c>
      <c r="E2" s="1" t="n">
        <f aca="false">D2-C2</f>
        <v>31</v>
      </c>
      <c r="F2" s="1" t="n">
        <f aca="false">E2/1000</f>
        <v>0.031</v>
      </c>
      <c r="G2" s="1" t="n">
        <f aca="false">F2*9.81</f>
        <v>0.30411</v>
      </c>
    </row>
    <row r="3" customFormat="false" ht="12.8" hidden="false" customHeight="false" outlineLevel="0" collapsed="false">
      <c r="A3" s="1" t="n">
        <f aca="false">A2</f>
        <v>16.4</v>
      </c>
      <c r="B3" s="1" t="n">
        <v>0.1</v>
      </c>
      <c r="C3" s="1" t="n">
        <f aca="false">C2</f>
        <v>0</v>
      </c>
      <c r="D3" s="0" t="n">
        <v>54</v>
      </c>
      <c r="E3" s="1" t="n">
        <f aca="false">D3-C3</f>
        <v>54</v>
      </c>
      <c r="F3" s="1" t="n">
        <f aca="false">E3/1000</f>
        <v>0.054</v>
      </c>
      <c r="G3" s="1" t="n">
        <f aca="false">F3*9.81</f>
        <v>0.52974</v>
      </c>
    </row>
    <row r="4" customFormat="false" ht="12.8" hidden="false" customHeight="false" outlineLevel="0" collapsed="false">
      <c r="A4" s="1" t="n">
        <f aca="false">A3</f>
        <v>16.4</v>
      </c>
      <c r="B4" s="1" t="n">
        <v>0.15</v>
      </c>
      <c r="C4" s="1" t="n">
        <f aca="false">C3</f>
        <v>0</v>
      </c>
      <c r="D4" s="0" t="n">
        <v>92</v>
      </c>
      <c r="E4" s="1" t="n">
        <f aca="false">D4-C4</f>
        <v>92</v>
      </c>
      <c r="F4" s="1" t="n">
        <f aca="false">E4/1000</f>
        <v>0.092</v>
      </c>
      <c r="G4" s="1" t="n">
        <f aca="false">F4*9.81</f>
        <v>0.90252</v>
      </c>
    </row>
    <row r="5" customFormat="false" ht="12.8" hidden="false" customHeight="false" outlineLevel="0" collapsed="false">
      <c r="A5" s="1" t="n">
        <f aca="false">A4</f>
        <v>16.4</v>
      </c>
      <c r="B5" s="1" t="n">
        <v>0.2</v>
      </c>
      <c r="C5" s="1" t="n">
        <f aca="false">C4</f>
        <v>0</v>
      </c>
      <c r="D5" s="0" t="n">
        <v>131</v>
      </c>
      <c r="E5" s="1" t="n">
        <f aca="false">D5-C5</f>
        <v>131</v>
      </c>
      <c r="F5" s="1" t="n">
        <f aca="false">E5/1000</f>
        <v>0.131</v>
      </c>
      <c r="G5" s="1" t="n">
        <f aca="false">F5*9.81</f>
        <v>1.28511</v>
      </c>
    </row>
    <row r="6" customFormat="false" ht="12.8" hidden="false" customHeight="false" outlineLevel="0" collapsed="false">
      <c r="A6" s="1" t="n">
        <f aca="false">A5</f>
        <v>16.4</v>
      </c>
      <c r="B6" s="1" t="n">
        <v>0.25</v>
      </c>
      <c r="C6" s="1" t="n">
        <f aca="false">C5</f>
        <v>0</v>
      </c>
      <c r="D6" s="0" t="n">
        <v>179</v>
      </c>
      <c r="E6" s="1" t="n">
        <f aca="false">D6-C6</f>
        <v>179</v>
      </c>
      <c r="F6" s="1" t="n">
        <f aca="false">E6/1000</f>
        <v>0.179</v>
      </c>
      <c r="G6" s="1" t="n">
        <f aca="false">F6*9.81</f>
        <v>1.75599</v>
      </c>
    </row>
    <row r="7" customFormat="false" ht="12.8" hidden="false" customHeight="false" outlineLevel="0" collapsed="false">
      <c r="A7" s="1" t="n">
        <f aca="false">A6</f>
        <v>16.4</v>
      </c>
      <c r="B7" s="1" t="n">
        <v>0.3</v>
      </c>
      <c r="C7" s="1" t="n">
        <f aca="false">C6</f>
        <v>0</v>
      </c>
      <c r="D7" s="0" t="n">
        <v>236</v>
      </c>
      <c r="E7" s="1" t="n">
        <f aca="false">D7-C7</f>
        <v>236</v>
      </c>
      <c r="F7" s="1" t="n">
        <f aca="false">E7/1000</f>
        <v>0.236</v>
      </c>
      <c r="G7" s="1" t="n">
        <f aca="false">F7*9.81</f>
        <v>2.31516</v>
      </c>
    </row>
    <row r="8" customFormat="false" ht="12.8" hidden="false" customHeight="false" outlineLevel="0" collapsed="false">
      <c r="A8" s="1" t="n">
        <f aca="false">A7</f>
        <v>16.4</v>
      </c>
      <c r="B8" s="1" t="n">
        <v>0.35</v>
      </c>
      <c r="C8" s="1" t="n">
        <f aca="false">C7</f>
        <v>0</v>
      </c>
      <c r="D8" s="0" t="n">
        <v>297</v>
      </c>
      <c r="E8" s="1" t="n">
        <f aca="false">D8-C8</f>
        <v>297</v>
      </c>
      <c r="F8" s="1" t="n">
        <f aca="false">E8/1000</f>
        <v>0.297</v>
      </c>
      <c r="G8" s="1" t="n">
        <f aca="false">F8*9.81</f>
        <v>2.91357</v>
      </c>
    </row>
    <row r="9" customFormat="false" ht="12.8" hidden="false" customHeight="false" outlineLevel="0" collapsed="false">
      <c r="A9" s="1" t="n">
        <f aca="false">A8</f>
        <v>16.4</v>
      </c>
      <c r="B9" s="1" t="n">
        <v>0.4</v>
      </c>
      <c r="C9" s="1" t="n">
        <f aca="false">C8</f>
        <v>0</v>
      </c>
      <c r="D9" s="0" t="n">
        <v>349</v>
      </c>
      <c r="E9" s="1" t="n">
        <f aca="false">D9-C9</f>
        <v>349</v>
      </c>
      <c r="F9" s="1" t="n">
        <f aca="false">E9/1000</f>
        <v>0.349</v>
      </c>
      <c r="G9" s="1" t="n">
        <f aca="false">F9*9.81</f>
        <v>3.42369</v>
      </c>
    </row>
    <row r="10" customFormat="false" ht="12.8" hidden="false" customHeight="false" outlineLevel="0" collapsed="false">
      <c r="A10" s="1" t="n">
        <f aca="false">A9</f>
        <v>16.4</v>
      </c>
      <c r="B10" s="1" t="n">
        <v>0.45</v>
      </c>
      <c r="C10" s="1" t="n">
        <f aca="false">C9</f>
        <v>0</v>
      </c>
      <c r="D10" s="0" t="n">
        <v>404</v>
      </c>
      <c r="E10" s="1" t="n">
        <f aca="false">D10-C10</f>
        <v>404</v>
      </c>
      <c r="F10" s="1" t="n">
        <f aca="false">E10/1000</f>
        <v>0.404</v>
      </c>
      <c r="G10" s="1" t="n">
        <f aca="false">F10*9.81</f>
        <v>3.96324</v>
      </c>
    </row>
    <row r="11" customFormat="false" ht="12.8" hidden="false" customHeight="false" outlineLevel="0" collapsed="false">
      <c r="A11" s="1" t="n">
        <f aca="false">A10</f>
        <v>16.4</v>
      </c>
      <c r="B11" s="1" t="n">
        <v>0.5</v>
      </c>
      <c r="C11" s="1" t="n">
        <f aca="false">C10</f>
        <v>0</v>
      </c>
      <c r="D11" s="0" t="n">
        <v>486</v>
      </c>
      <c r="E11" s="1" t="n">
        <f aca="false">D11-C11</f>
        <v>486</v>
      </c>
      <c r="F11" s="1" t="n">
        <f aca="false">E11/1000</f>
        <v>0.486</v>
      </c>
      <c r="G11" s="1" t="n">
        <f aca="false">F11*9.81</f>
        <v>4.76766</v>
      </c>
    </row>
    <row r="12" customFormat="false" ht="12.8" hidden="false" customHeight="false" outlineLevel="0" collapsed="false">
      <c r="A12" s="1" t="n">
        <f aca="false">A11</f>
        <v>16.4</v>
      </c>
      <c r="B12" s="1" t="n">
        <v>0.55</v>
      </c>
      <c r="C12" s="1" t="n">
        <f aca="false">C11</f>
        <v>0</v>
      </c>
      <c r="D12" s="0" t="n">
        <v>550</v>
      </c>
      <c r="E12" s="1" t="n">
        <f aca="false">D12-C12</f>
        <v>550</v>
      </c>
      <c r="F12" s="1" t="n">
        <f aca="false">E12/1000</f>
        <v>0.55</v>
      </c>
      <c r="G12" s="1" t="n">
        <f aca="false">F12*9.81</f>
        <v>5.3955</v>
      </c>
    </row>
    <row r="13" customFormat="false" ht="12.8" hidden="false" customHeight="false" outlineLevel="0" collapsed="false">
      <c r="A13" s="1" t="n">
        <f aca="false">A12</f>
        <v>16.4</v>
      </c>
      <c r="B13" s="1" t="n">
        <v>0.6</v>
      </c>
      <c r="C13" s="1" t="n">
        <f aca="false">C12</f>
        <v>0</v>
      </c>
      <c r="D13" s="0" t="n">
        <v>668</v>
      </c>
      <c r="E13" s="1" t="n">
        <f aca="false">D13-C13</f>
        <v>668</v>
      </c>
      <c r="F13" s="1" t="n">
        <f aca="false">E13/1000</f>
        <v>0.668</v>
      </c>
      <c r="G13" s="1" t="n">
        <f aca="false">F13*9.81</f>
        <v>6.55308</v>
      </c>
    </row>
    <row r="14" customFormat="false" ht="12.8" hidden="false" customHeight="false" outlineLevel="0" collapsed="false">
      <c r="A14" s="1" t="n">
        <f aca="false">A13</f>
        <v>16.4</v>
      </c>
      <c r="B14" s="1" t="n">
        <v>0.65</v>
      </c>
      <c r="C14" s="1" t="n">
        <f aca="false">C13</f>
        <v>0</v>
      </c>
      <c r="D14" s="0" t="n">
        <v>732</v>
      </c>
      <c r="E14" s="1" t="n">
        <f aca="false">D14-C14</f>
        <v>732</v>
      </c>
      <c r="F14" s="1" t="n">
        <f aca="false">E14/1000</f>
        <v>0.732</v>
      </c>
      <c r="G14" s="1" t="n">
        <f aca="false">F14*9.81</f>
        <v>7.18092</v>
      </c>
    </row>
    <row r="15" customFormat="false" ht="12.8" hidden="false" customHeight="false" outlineLevel="0" collapsed="false">
      <c r="A15" s="1" t="n">
        <f aca="false">A14</f>
        <v>16.4</v>
      </c>
      <c r="B15" s="1" t="n">
        <v>0.7</v>
      </c>
      <c r="C15" s="1" t="n">
        <f aca="false">C14</f>
        <v>0</v>
      </c>
      <c r="D15" s="0" t="n">
        <v>811</v>
      </c>
      <c r="E15" s="1" t="n">
        <f aca="false">D15-C15</f>
        <v>811</v>
      </c>
      <c r="F15" s="1" t="n">
        <f aca="false">E15/1000</f>
        <v>0.811</v>
      </c>
      <c r="G15" s="1" t="n">
        <f aca="false">F15*9.81</f>
        <v>7.95591</v>
      </c>
    </row>
    <row r="16" customFormat="false" ht="12.8" hidden="false" customHeight="false" outlineLevel="0" collapsed="false">
      <c r="A16" s="1" t="n">
        <f aca="false">A15</f>
        <v>16.4</v>
      </c>
      <c r="B16" s="1" t="n">
        <v>0.75</v>
      </c>
      <c r="C16" s="1" t="n">
        <f aca="false">C15</f>
        <v>0</v>
      </c>
      <c r="D16" s="0" t="n">
        <v>892</v>
      </c>
      <c r="E16" s="1" t="n">
        <f aca="false">D16-C16</f>
        <v>892</v>
      </c>
      <c r="F16" s="1" t="n">
        <f aca="false">E16/1000</f>
        <v>0.892</v>
      </c>
      <c r="G16" s="1" t="n">
        <f aca="false">F16*9.81</f>
        <v>8.75052</v>
      </c>
    </row>
    <row r="17" customFormat="false" ht="12.8" hidden="false" customHeight="false" outlineLevel="0" collapsed="false">
      <c r="A17" s="1" t="n">
        <f aca="false">A16</f>
        <v>16.4</v>
      </c>
      <c r="B17" s="1" t="n">
        <v>0.8</v>
      </c>
      <c r="C17" s="1" t="n">
        <f aca="false">C16</f>
        <v>0</v>
      </c>
      <c r="D17" s="0" t="n">
        <v>962</v>
      </c>
      <c r="E17" s="1" t="n">
        <f aca="false">D17-C17</f>
        <v>962</v>
      </c>
      <c r="F17" s="1" t="n">
        <f aca="false">E17/1000</f>
        <v>0.962</v>
      </c>
      <c r="G17" s="1" t="n">
        <f aca="false">F17*9.81</f>
        <v>9.43722</v>
      </c>
    </row>
    <row r="18" customFormat="false" ht="12.8" hidden="false" customHeight="false" outlineLevel="0" collapsed="false">
      <c r="A18" s="1" t="n">
        <f aca="false">A17</f>
        <v>16.4</v>
      </c>
      <c r="B18" s="1" t="n">
        <v>0.85</v>
      </c>
      <c r="C18" s="1" t="n">
        <f aca="false">C17</f>
        <v>0</v>
      </c>
      <c r="D18" s="0" t="n">
        <v>1020</v>
      </c>
      <c r="E18" s="1" t="n">
        <f aca="false">D18-C18</f>
        <v>1020</v>
      </c>
      <c r="F18" s="1" t="n">
        <f aca="false">E18/1000</f>
        <v>1.02</v>
      </c>
      <c r="G18" s="1" t="n">
        <f aca="false">F18*9.81</f>
        <v>10.0062</v>
      </c>
    </row>
    <row r="19" customFormat="false" ht="12.8" hidden="false" customHeight="false" outlineLevel="0" collapsed="false">
      <c r="A19" s="1" t="n">
        <f aca="false">A18</f>
        <v>16.4</v>
      </c>
      <c r="B19" s="1" t="n">
        <v>0.9</v>
      </c>
      <c r="C19" s="1" t="n">
        <f aca="false">C18</f>
        <v>0</v>
      </c>
      <c r="D19" s="0" t="n">
        <v>1000</v>
      </c>
      <c r="E19" s="1" t="n">
        <f aca="false">D19-C19</f>
        <v>1000</v>
      </c>
      <c r="F19" s="1" t="n">
        <f aca="false">E19/1000</f>
        <v>1</v>
      </c>
      <c r="G19" s="1" t="n">
        <f aca="false">F19*9.81</f>
        <v>9.81</v>
      </c>
    </row>
    <row r="20" customFormat="false" ht="12.8" hidden="false" customHeight="false" outlineLevel="0" collapsed="false">
      <c r="A20" s="1" t="n">
        <f aca="false">A19</f>
        <v>16.4</v>
      </c>
      <c r="B20" s="1" t="n">
        <v>0.95</v>
      </c>
      <c r="C20" s="1" t="n">
        <f aca="false">C19</f>
        <v>0</v>
      </c>
      <c r="D20" s="0" t="n">
        <v>1010</v>
      </c>
      <c r="E20" s="1" t="n">
        <f aca="false">D20-C20</f>
        <v>1010</v>
      </c>
      <c r="F20" s="1" t="n">
        <f aca="false">E20/1000</f>
        <v>1.01</v>
      </c>
      <c r="G20" s="1" t="n">
        <f aca="false">F20*9.81</f>
        <v>9.9081</v>
      </c>
    </row>
    <row r="21" customFormat="false" ht="12.8" hidden="false" customHeight="false" outlineLevel="0" collapsed="false">
      <c r="A21" s="1" t="n">
        <f aca="false">A20</f>
        <v>16.4</v>
      </c>
      <c r="B21" s="1" t="n">
        <v>1</v>
      </c>
      <c r="C21" s="1" t="n">
        <f aca="false">C20</f>
        <v>0</v>
      </c>
      <c r="D21" s="0" t="n">
        <v>1020</v>
      </c>
      <c r="E21" s="1" t="n">
        <f aca="false">D21-C21</f>
        <v>1020</v>
      </c>
      <c r="F21" s="1" t="n">
        <f aca="false">E21/1000</f>
        <v>1.02</v>
      </c>
      <c r="G21" s="1" t="n">
        <f aca="false">F21*9.81</f>
        <v>10.0062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30" activeCellId="0" sqref="F30"/>
    </sheetView>
  </sheetViews>
  <sheetFormatPr defaultColWidth="11.5703125" defaultRowHeight="12.8" customHeight="false" zeroHeight="false" outlineLevelRow="0" outlineLevelCol="0"/>
  <cols>
    <col collapsed="false" customWidth="true" hidden="false" outlineLevel="0" max="1" min="1" style="1" width="24.17"/>
    <col collapsed="false" customWidth="true" hidden="false" outlineLevel="0" max="2" min="2" style="1" width="24.45"/>
    <col collapsed="false" customWidth="true" hidden="false" outlineLevel="0" max="3" min="3" style="1" width="25.14"/>
    <col collapsed="false" customWidth="true" hidden="false" outlineLevel="0" max="4" min="4" style="1" width="24.73"/>
    <col collapsed="false" customWidth="true" hidden="false" outlineLevel="0" max="5" min="5" style="1" width="21.67"/>
    <col collapsed="false" customWidth="true" hidden="false" outlineLevel="0" max="6" min="6" style="1" width="22.62"/>
    <col collapsed="false" customWidth="true" hidden="false" outlineLevel="0" max="7" min="7" style="1" width="23.08"/>
  </cols>
  <sheetData>
    <row r="1" customFormat="false" ht="71.6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customFormat="false" ht="12.8" hidden="false" customHeight="false" outlineLevel="0" collapsed="false">
      <c r="A2" s="1" t="n">
        <v>16.4</v>
      </c>
      <c r="B2" s="0" t="n">
        <v>0.05</v>
      </c>
      <c r="C2" s="1" t="n">
        <v>0</v>
      </c>
      <c r="D2" s="0" t="n">
        <v>33</v>
      </c>
      <c r="E2" s="1" t="n">
        <f aca="false">SUM(D2,-1*C2)</f>
        <v>33</v>
      </c>
      <c r="F2" s="1" t="n">
        <f aca="false">E2/1000</f>
        <v>0.033</v>
      </c>
      <c r="G2" s="1" t="n">
        <f aca="false">F2*9.81</f>
        <v>0.32373</v>
      </c>
    </row>
    <row r="3" customFormat="false" ht="12.8" hidden="false" customHeight="false" outlineLevel="0" collapsed="false">
      <c r="A3" s="1" t="n">
        <v>16.4</v>
      </c>
      <c r="B3" s="0" t="n">
        <v>0.1</v>
      </c>
      <c r="C3" s="1" t="n">
        <v>0</v>
      </c>
      <c r="D3" s="0" t="n">
        <v>60</v>
      </c>
      <c r="E3" s="1" t="n">
        <f aca="false">SUM(D3,-1*C3)</f>
        <v>60</v>
      </c>
      <c r="F3" s="1" t="n">
        <f aca="false">E3/1000</f>
        <v>0.06</v>
      </c>
      <c r="G3" s="1" t="n">
        <f aca="false">F3*9.81</f>
        <v>0.5886</v>
      </c>
    </row>
    <row r="4" customFormat="false" ht="12.8" hidden="false" customHeight="false" outlineLevel="0" collapsed="false">
      <c r="A4" s="1" t="n">
        <v>16.4</v>
      </c>
      <c r="B4" s="0" t="n">
        <v>0.15</v>
      </c>
      <c r="C4" s="1" t="n">
        <v>0</v>
      </c>
      <c r="D4" s="0" t="n">
        <v>90</v>
      </c>
      <c r="E4" s="1" t="n">
        <f aca="false">SUM(D4,-1*C4)</f>
        <v>90</v>
      </c>
      <c r="F4" s="1" t="n">
        <f aca="false">E4/1000</f>
        <v>0.09</v>
      </c>
      <c r="G4" s="1" t="n">
        <f aca="false">F4*9.81</f>
        <v>0.8829</v>
      </c>
    </row>
    <row r="5" customFormat="false" ht="12.8" hidden="false" customHeight="false" outlineLevel="0" collapsed="false">
      <c r="A5" s="1" t="n">
        <f aca="false">A2</f>
        <v>16.4</v>
      </c>
      <c r="B5" s="0" t="n">
        <v>0.2</v>
      </c>
      <c r="C5" s="1" t="n">
        <v>0</v>
      </c>
      <c r="D5" s="0" t="n">
        <v>130</v>
      </c>
      <c r="E5" s="1" t="n">
        <f aca="false">SUM(D5,-1*C5)</f>
        <v>130</v>
      </c>
      <c r="F5" s="1" t="n">
        <f aca="false">E5/1000</f>
        <v>0.13</v>
      </c>
      <c r="G5" s="1" t="n">
        <f aca="false">F5*9.81</f>
        <v>1.2753</v>
      </c>
    </row>
    <row r="6" customFormat="false" ht="12.8" hidden="false" customHeight="false" outlineLevel="0" collapsed="false">
      <c r="A6" s="1" t="n">
        <f aca="false">A3</f>
        <v>16.4</v>
      </c>
      <c r="B6" s="0" t="n">
        <v>0.25</v>
      </c>
      <c r="C6" s="1" t="n">
        <v>0</v>
      </c>
      <c r="D6" s="0" t="n">
        <v>185</v>
      </c>
      <c r="E6" s="1" t="n">
        <f aca="false">SUM(D6,-1*C6)</f>
        <v>185</v>
      </c>
      <c r="F6" s="1" t="n">
        <f aca="false">E6/1000</f>
        <v>0.185</v>
      </c>
      <c r="G6" s="1" t="n">
        <f aca="false">F6*9.81</f>
        <v>1.81485</v>
      </c>
    </row>
    <row r="7" customFormat="false" ht="12.8" hidden="false" customHeight="false" outlineLevel="0" collapsed="false">
      <c r="A7" s="1" t="n">
        <f aca="false">A4</f>
        <v>16.4</v>
      </c>
      <c r="B7" s="0" t="n">
        <v>0.3</v>
      </c>
      <c r="C7" s="1" t="n">
        <v>0</v>
      </c>
      <c r="D7" s="0" t="n">
        <v>228</v>
      </c>
      <c r="E7" s="1" t="n">
        <f aca="false">SUM(D7,-1*C7)</f>
        <v>228</v>
      </c>
      <c r="F7" s="1" t="n">
        <f aca="false">E7/1000</f>
        <v>0.228</v>
      </c>
      <c r="G7" s="1" t="n">
        <f aca="false">F7*9.81</f>
        <v>2.23668</v>
      </c>
    </row>
    <row r="8" customFormat="false" ht="12.8" hidden="false" customHeight="false" outlineLevel="0" collapsed="false">
      <c r="A8" s="1" t="n">
        <f aca="false">A5</f>
        <v>16.4</v>
      </c>
      <c r="B8" s="0" t="n">
        <v>0.35</v>
      </c>
      <c r="C8" s="1" t="n">
        <v>0</v>
      </c>
      <c r="D8" s="0" t="n">
        <v>288</v>
      </c>
      <c r="E8" s="1" t="n">
        <f aca="false">SUM(D8,-1*C8)</f>
        <v>288</v>
      </c>
      <c r="F8" s="1" t="n">
        <f aca="false">E8/1000</f>
        <v>0.288</v>
      </c>
      <c r="G8" s="1" t="n">
        <f aca="false">F8*9.81</f>
        <v>2.82528</v>
      </c>
    </row>
    <row r="9" customFormat="false" ht="12.8" hidden="false" customHeight="false" outlineLevel="0" collapsed="false">
      <c r="A9" s="1" t="n">
        <f aca="false">A6</f>
        <v>16.4</v>
      </c>
      <c r="B9" s="0" t="n">
        <v>0.4</v>
      </c>
      <c r="C9" s="1" t="n">
        <v>0</v>
      </c>
      <c r="D9" s="0" t="n">
        <v>341</v>
      </c>
      <c r="E9" s="1" t="n">
        <f aca="false">SUM(D9,-1*C9)</f>
        <v>341</v>
      </c>
      <c r="F9" s="1" t="n">
        <f aca="false">E9/1000</f>
        <v>0.341</v>
      </c>
      <c r="G9" s="1" t="n">
        <f aca="false">F9*9.81</f>
        <v>3.34521</v>
      </c>
    </row>
    <row r="10" customFormat="false" ht="12.8" hidden="false" customHeight="false" outlineLevel="0" collapsed="false">
      <c r="A10" s="1" t="n">
        <f aca="false">A7</f>
        <v>16.4</v>
      </c>
      <c r="B10" s="0" t="n">
        <v>0.45</v>
      </c>
      <c r="C10" s="1" t="n">
        <v>0</v>
      </c>
      <c r="D10" s="0" t="n">
        <v>418</v>
      </c>
      <c r="E10" s="1" t="n">
        <f aca="false">SUM(D10,-1*C10)</f>
        <v>418</v>
      </c>
      <c r="F10" s="1" t="n">
        <f aca="false">E10/1000</f>
        <v>0.418</v>
      </c>
      <c r="G10" s="1" t="n">
        <f aca="false">F10*9.81</f>
        <v>4.10058</v>
      </c>
    </row>
    <row r="11" customFormat="false" ht="12.8" hidden="false" customHeight="false" outlineLevel="0" collapsed="false">
      <c r="A11" s="1" t="n">
        <f aca="false">A8</f>
        <v>16.4</v>
      </c>
      <c r="B11" s="0" t="n">
        <v>0.5</v>
      </c>
      <c r="C11" s="1" t="n">
        <v>0</v>
      </c>
      <c r="D11" s="0" t="n">
        <v>504</v>
      </c>
      <c r="E11" s="1" t="n">
        <f aca="false">SUM(D11,-1*C11)</f>
        <v>504</v>
      </c>
      <c r="F11" s="1" t="n">
        <f aca="false">E11/1000</f>
        <v>0.504</v>
      </c>
      <c r="G11" s="1" t="n">
        <f aca="false">F11*9.81</f>
        <v>4.94424</v>
      </c>
    </row>
    <row r="12" customFormat="false" ht="12.8" hidden="false" customHeight="false" outlineLevel="0" collapsed="false">
      <c r="A12" s="1" t="n">
        <f aca="false">A9</f>
        <v>16.4</v>
      </c>
      <c r="B12" s="0" t="n">
        <v>0.55</v>
      </c>
      <c r="C12" s="1" t="n">
        <v>0</v>
      </c>
      <c r="D12" s="0" t="n">
        <v>573</v>
      </c>
      <c r="E12" s="1" t="n">
        <f aca="false">SUM(D12,-1*C12)</f>
        <v>573</v>
      </c>
      <c r="F12" s="1" t="n">
        <f aca="false">E12/1000</f>
        <v>0.573</v>
      </c>
      <c r="G12" s="1" t="n">
        <f aca="false">F12*9.81</f>
        <v>5.62113</v>
      </c>
    </row>
    <row r="13" customFormat="false" ht="12.8" hidden="false" customHeight="false" outlineLevel="0" collapsed="false">
      <c r="A13" s="1" t="n">
        <f aca="false">A10</f>
        <v>16.4</v>
      </c>
      <c r="B13" s="0" t="n">
        <v>0.6</v>
      </c>
      <c r="C13" s="1" t="n">
        <v>0</v>
      </c>
      <c r="D13" s="0" t="n">
        <v>643</v>
      </c>
      <c r="E13" s="1" t="n">
        <f aca="false">SUM(D13,-1*C13)</f>
        <v>643</v>
      </c>
      <c r="F13" s="1" t="n">
        <f aca="false">E13/1000</f>
        <v>0.643</v>
      </c>
      <c r="G13" s="1" t="n">
        <f aca="false">F13*9.81</f>
        <v>6.30783</v>
      </c>
    </row>
    <row r="14" customFormat="false" ht="12.8" hidden="false" customHeight="false" outlineLevel="0" collapsed="false">
      <c r="A14" s="1" t="n">
        <f aca="false">A11</f>
        <v>16.4</v>
      </c>
      <c r="B14" s="0" t="n">
        <v>0.65</v>
      </c>
      <c r="C14" s="1" t="n">
        <v>0</v>
      </c>
      <c r="D14" s="0" t="n">
        <v>735</v>
      </c>
      <c r="E14" s="1" t="n">
        <f aca="false">SUM(D14,-1*C14)</f>
        <v>735</v>
      </c>
      <c r="F14" s="1" t="n">
        <f aca="false">E14/1000</f>
        <v>0.735</v>
      </c>
      <c r="G14" s="1" t="n">
        <f aca="false">F14*9.81</f>
        <v>7.21035</v>
      </c>
    </row>
    <row r="15" customFormat="false" ht="12.8" hidden="false" customHeight="false" outlineLevel="0" collapsed="false">
      <c r="A15" s="1" t="n">
        <f aca="false">A12</f>
        <v>16.4</v>
      </c>
      <c r="B15" s="0" t="n">
        <v>0.7</v>
      </c>
      <c r="C15" s="1" t="n">
        <v>0</v>
      </c>
      <c r="D15" s="0" t="n">
        <v>820</v>
      </c>
      <c r="E15" s="1" t="n">
        <f aca="false">SUM(D15,-1*C15)</f>
        <v>820</v>
      </c>
      <c r="F15" s="1" t="n">
        <f aca="false">E15/1000</f>
        <v>0.82</v>
      </c>
      <c r="G15" s="1" t="n">
        <f aca="false">F15*9.81</f>
        <v>8.0442</v>
      </c>
    </row>
    <row r="16" customFormat="false" ht="12.8" hidden="false" customHeight="false" outlineLevel="0" collapsed="false">
      <c r="A16" s="1" t="n">
        <f aca="false">A13</f>
        <v>16.4</v>
      </c>
      <c r="B16" s="0" t="n">
        <v>0.75</v>
      </c>
      <c r="C16" s="1" t="n">
        <v>0</v>
      </c>
      <c r="D16" s="0" t="n">
        <v>885</v>
      </c>
      <c r="E16" s="1" t="n">
        <f aca="false">SUM(D16,-1*C16)</f>
        <v>885</v>
      </c>
      <c r="F16" s="1" t="n">
        <f aca="false">E16/1000</f>
        <v>0.885</v>
      </c>
      <c r="G16" s="1" t="n">
        <f aca="false">F16*9.81</f>
        <v>8.68185</v>
      </c>
    </row>
    <row r="17" customFormat="false" ht="12.8" hidden="false" customHeight="false" outlineLevel="0" collapsed="false">
      <c r="A17" s="1" t="n">
        <f aca="false">A14</f>
        <v>16.4</v>
      </c>
      <c r="B17" s="0" t="n">
        <v>0.8</v>
      </c>
      <c r="C17" s="1" t="n">
        <v>0</v>
      </c>
      <c r="D17" s="0" t="n">
        <v>930</v>
      </c>
      <c r="E17" s="1" t="n">
        <f aca="false">SUM(D17,-1*C17)</f>
        <v>930</v>
      </c>
      <c r="F17" s="1" t="n">
        <f aca="false">E17/1000</f>
        <v>0.93</v>
      </c>
      <c r="G17" s="1" t="n">
        <f aca="false">F17*9.81</f>
        <v>9.1233</v>
      </c>
    </row>
    <row r="18" customFormat="false" ht="12.8" hidden="false" customHeight="false" outlineLevel="0" collapsed="false">
      <c r="A18" s="1" t="n">
        <f aca="false">A15</f>
        <v>16.4</v>
      </c>
      <c r="B18" s="0" t="n">
        <v>0.85</v>
      </c>
      <c r="C18" s="1" t="n">
        <v>0</v>
      </c>
      <c r="D18" s="0" t="n">
        <v>990</v>
      </c>
      <c r="E18" s="1" t="n">
        <f aca="false">SUM(D18,-1*C18)</f>
        <v>990</v>
      </c>
      <c r="F18" s="1" t="n">
        <f aca="false">E18/1000</f>
        <v>0.99</v>
      </c>
      <c r="G18" s="1" t="n">
        <f aca="false">F18*9.81</f>
        <v>9.7119</v>
      </c>
    </row>
    <row r="19" customFormat="false" ht="12.8" hidden="false" customHeight="false" outlineLevel="0" collapsed="false">
      <c r="A19" s="1" t="n">
        <f aca="false">A16</f>
        <v>16.4</v>
      </c>
      <c r="B19" s="0" t="n">
        <v>0.9</v>
      </c>
      <c r="C19" s="1" t="n">
        <v>0</v>
      </c>
      <c r="D19" s="0" t="n">
        <v>988</v>
      </c>
      <c r="E19" s="1" t="n">
        <f aca="false">SUM(D19,-1*C19)</f>
        <v>988</v>
      </c>
      <c r="F19" s="1" t="n">
        <f aca="false">E19/1000</f>
        <v>0.988</v>
      </c>
      <c r="G19" s="1" t="n">
        <f aca="false">F19*9.81</f>
        <v>9.69228</v>
      </c>
    </row>
    <row r="20" customFormat="false" ht="12.8" hidden="false" customHeight="false" outlineLevel="0" collapsed="false">
      <c r="A20" s="1" t="n">
        <f aca="false">A17</f>
        <v>16.4</v>
      </c>
      <c r="B20" s="0" t="n">
        <v>0.95</v>
      </c>
      <c r="C20" s="1" t="n">
        <v>0</v>
      </c>
      <c r="D20" s="0" t="n">
        <v>988</v>
      </c>
      <c r="E20" s="1" t="n">
        <f aca="false">SUM(D20,-1*C20)</f>
        <v>988</v>
      </c>
      <c r="F20" s="1" t="n">
        <f aca="false">E20/1000</f>
        <v>0.988</v>
      </c>
      <c r="G20" s="1" t="n">
        <f aca="false">F20*9.81</f>
        <v>9.69228</v>
      </c>
    </row>
    <row r="21" customFormat="false" ht="12.8" hidden="false" customHeight="false" outlineLevel="0" collapsed="false">
      <c r="A21" s="1" t="n">
        <f aca="false">A18</f>
        <v>16.4</v>
      </c>
      <c r="B21" s="0" t="n">
        <v>1</v>
      </c>
      <c r="C21" s="1" t="n">
        <v>0</v>
      </c>
      <c r="D21" s="0" t="n">
        <v>995</v>
      </c>
      <c r="E21" s="1" t="n">
        <f aca="false">SUM(D21,-1*C21)</f>
        <v>995</v>
      </c>
      <c r="F21" s="1" t="n">
        <f aca="false">E21/1000</f>
        <v>0.995</v>
      </c>
      <c r="G21" s="1" t="n">
        <f aca="false">F21*9.81</f>
        <v>9.76095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21" activeCellId="0" sqref="D21"/>
    </sheetView>
  </sheetViews>
  <sheetFormatPr defaultColWidth="11.5703125" defaultRowHeight="12.8" customHeight="false" zeroHeight="false" outlineLevelRow="0" outlineLevelCol="0"/>
  <cols>
    <col collapsed="false" customWidth="true" hidden="false" outlineLevel="0" max="1" min="1" style="1" width="24.17"/>
    <col collapsed="false" customWidth="true" hidden="false" outlineLevel="0" max="2" min="2" style="1" width="24.45"/>
    <col collapsed="false" customWidth="true" hidden="false" outlineLevel="0" max="3" min="3" style="1" width="25.14"/>
    <col collapsed="false" customWidth="true" hidden="false" outlineLevel="0" max="4" min="4" style="1" width="24.73"/>
    <col collapsed="false" customWidth="true" hidden="false" outlineLevel="0" max="5" min="5" style="1" width="21.67"/>
    <col collapsed="false" customWidth="true" hidden="false" outlineLevel="0" max="6" min="6" style="1" width="19.45"/>
    <col collapsed="false" customWidth="true" hidden="false" outlineLevel="0" max="7" min="7" style="1" width="20.01"/>
  </cols>
  <sheetData>
    <row r="1" customFormat="false" ht="71.6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customFormat="false" ht="12.8" hidden="false" customHeight="false" outlineLevel="0" collapsed="false">
      <c r="A2" s="1" t="n">
        <v>16.4</v>
      </c>
      <c r="B2" s="1" t="n">
        <v>0.05</v>
      </c>
      <c r="C2" s="1" t="n">
        <v>0</v>
      </c>
      <c r="D2" s="0" t="n">
        <v>31</v>
      </c>
      <c r="E2" s="1" t="n">
        <f aca="false">SUM(D2,-1*C2)</f>
        <v>31</v>
      </c>
      <c r="F2" s="1" t="n">
        <f aca="false">E2/1000</f>
        <v>0.031</v>
      </c>
      <c r="G2" s="1" t="n">
        <f aca="false">F2*9.81</f>
        <v>0.30411</v>
      </c>
    </row>
    <row r="3" customFormat="false" ht="12.8" hidden="false" customHeight="false" outlineLevel="0" collapsed="false">
      <c r="A3" s="1" t="n">
        <f aca="false">A2</f>
        <v>16.4</v>
      </c>
      <c r="B3" s="1" t="n">
        <v>0.1</v>
      </c>
      <c r="C3" s="1" t="n">
        <f aca="false">C2</f>
        <v>0</v>
      </c>
      <c r="D3" s="0" t="n">
        <v>54</v>
      </c>
      <c r="E3" s="1" t="n">
        <f aca="false">SUM(D3,-1*C3)</f>
        <v>54</v>
      </c>
      <c r="F3" s="1" t="n">
        <f aca="false">E3/1000</f>
        <v>0.054</v>
      </c>
      <c r="G3" s="1" t="n">
        <f aca="false">F3*9.81</f>
        <v>0.52974</v>
      </c>
    </row>
    <row r="4" customFormat="false" ht="12.8" hidden="false" customHeight="false" outlineLevel="0" collapsed="false">
      <c r="A4" s="1" t="n">
        <f aca="false">A3</f>
        <v>16.4</v>
      </c>
      <c r="B4" s="1" t="n">
        <v>0.15</v>
      </c>
      <c r="C4" s="1" t="n">
        <f aca="false">C3</f>
        <v>0</v>
      </c>
      <c r="D4" s="0" t="n">
        <v>92</v>
      </c>
      <c r="E4" s="1" t="n">
        <f aca="false">SUM(D4,-1*C4)</f>
        <v>92</v>
      </c>
      <c r="F4" s="1" t="n">
        <f aca="false">E4/1000</f>
        <v>0.092</v>
      </c>
      <c r="G4" s="1" t="n">
        <f aca="false">F4*9.81</f>
        <v>0.90252</v>
      </c>
    </row>
    <row r="5" customFormat="false" ht="12.8" hidden="false" customHeight="false" outlineLevel="0" collapsed="false">
      <c r="A5" s="1" t="n">
        <f aca="false">A4</f>
        <v>16.4</v>
      </c>
      <c r="B5" s="1" t="n">
        <v>0.2</v>
      </c>
      <c r="C5" s="1" t="n">
        <f aca="false">C4</f>
        <v>0</v>
      </c>
      <c r="D5" s="0" t="n">
        <v>131</v>
      </c>
      <c r="E5" s="1" t="n">
        <f aca="false">SUM(D5,-1*C5)</f>
        <v>131</v>
      </c>
      <c r="F5" s="1" t="n">
        <f aca="false">E5/1000</f>
        <v>0.131</v>
      </c>
      <c r="G5" s="1" t="n">
        <f aca="false">F5*9.81</f>
        <v>1.28511</v>
      </c>
    </row>
    <row r="6" customFormat="false" ht="12.8" hidden="false" customHeight="false" outlineLevel="0" collapsed="false">
      <c r="A6" s="1" t="n">
        <f aca="false">A5</f>
        <v>16.4</v>
      </c>
      <c r="B6" s="1" t="n">
        <v>0.25</v>
      </c>
      <c r="C6" s="1" t="n">
        <f aca="false">C5</f>
        <v>0</v>
      </c>
      <c r="D6" s="0" t="n">
        <v>179</v>
      </c>
      <c r="E6" s="1" t="n">
        <f aca="false">SUM(D6,-1*C6)</f>
        <v>179</v>
      </c>
      <c r="F6" s="1" t="n">
        <f aca="false">E6/1000</f>
        <v>0.179</v>
      </c>
      <c r="G6" s="1" t="n">
        <f aca="false">F6*9.81</f>
        <v>1.75599</v>
      </c>
    </row>
    <row r="7" customFormat="false" ht="12.8" hidden="false" customHeight="false" outlineLevel="0" collapsed="false">
      <c r="A7" s="1" t="n">
        <f aca="false">A6</f>
        <v>16.4</v>
      </c>
      <c r="B7" s="1" t="n">
        <v>0.3</v>
      </c>
      <c r="C7" s="1" t="n">
        <f aca="false">C6</f>
        <v>0</v>
      </c>
      <c r="D7" s="0" t="n">
        <v>236</v>
      </c>
      <c r="E7" s="1" t="n">
        <f aca="false">SUM(D7,-1*C7)</f>
        <v>236</v>
      </c>
      <c r="F7" s="1" t="n">
        <f aca="false">E7/1000</f>
        <v>0.236</v>
      </c>
      <c r="G7" s="1" t="n">
        <f aca="false">F7*9.81</f>
        <v>2.31516</v>
      </c>
    </row>
    <row r="8" customFormat="false" ht="12.8" hidden="false" customHeight="false" outlineLevel="0" collapsed="false">
      <c r="A8" s="1" t="n">
        <f aca="false">A7</f>
        <v>16.4</v>
      </c>
      <c r="B8" s="1" t="n">
        <v>0.35</v>
      </c>
      <c r="C8" s="1" t="n">
        <f aca="false">C7</f>
        <v>0</v>
      </c>
      <c r="D8" s="0" t="n">
        <v>297</v>
      </c>
      <c r="E8" s="1" t="n">
        <f aca="false">SUM(D8,-1*C8)</f>
        <v>297</v>
      </c>
      <c r="F8" s="1" t="n">
        <f aca="false">E8/1000</f>
        <v>0.297</v>
      </c>
      <c r="G8" s="1" t="n">
        <f aca="false">F8*9.81</f>
        <v>2.91357</v>
      </c>
    </row>
    <row r="9" customFormat="false" ht="12.8" hidden="false" customHeight="false" outlineLevel="0" collapsed="false">
      <c r="A9" s="1" t="n">
        <f aca="false">A8</f>
        <v>16.4</v>
      </c>
      <c r="B9" s="1" t="n">
        <v>0.4</v>
      </c>
      <c r="C9" s="1" t="n">
        <f aca="false">C8</f>
        <v>0</v>
      </c>
      <c r="D9" s="0" t="n">
        <v>349</v>
      </c>
      <c r="E9" s="1" t="n">
        <f aca="false">SUM(D9,-1*C9)</f>
        <v>349</v>
      </c>
      <c r="F9" s="1" t="n">
        <f aca="false">E9/1000</f>
        <v>0.349</v>
      </c>
      <c r="G9" s="1" t="n">
        <f aca="false">F9*9.81</f>
        <v>3.42369</v>
      </c>
    </row>
    <row r="10" customFormat="false" ht="12.8" hidden="false" customHeight="false" outlineLevel="0" collapsed="false">
      <c r="A10" s="1" t="n">
        <f aca="false">A9</f>
        <v>16.4</v>
      </c>
      <c r="B10" s="1" t="n">
        <v>0.45</v>
      </c>
      <c r="C10" s="1" t="n">
        <f aca="false">C9</f>
        <v>0</v>
      </c>
      <c r="D10" s="0" t="n">
        <v>404</v>
      </c>
      <c r="E10" s="1" t="n">
        <f aca="false">SUM(D10,-1*C10)</f>
        <v>404</v>
      </c>
      <c r="F10" s="1" t="n">
        <f aca="false">E10/1000</f>
        <v>0.404</v>
      </c>
      <c r="G10" s="1" t="n">
        <f aca="false">F10*9.81</f>
        <v>3.96324</v>
      </c>
    </row>
    <row r="11" customFormat="false" ht="12.8" hidden="false" customHeight="false" outlineLevel="0" collapsed="false">
      <c r="A11" s="1" t="n">
        <f aca="false">A10</f>
        <v>16.4</v>
      </c>
      <c r="B11" s="1" t="n">
        <v>0.5</v>
      </c>
      <c r="C11" s="1" t="n">
        <f aca="false">C10</f>
        <v>0</v>
      </c>
      <c r="D11" s="0" t="n">
        <v>486</v>
      </c>
      <c r="E11" s="1" t="n">
        <f aca="false">SUM(D11,-1*C11)</f>
        <v>486</v>
      </c>
      <c r="F11" s="1" t="n">
        <f aca="false">E11/1000</f>
        <v>0.486</v>
      </c>
      <c r="G11" s="1" t="n">
        <f aca="false">F11*9.81</f>
        <v>4.76766</v>
      </c>
    </row>
    <row r="12" customFormat="false" ht="12.8" hidden="false" customHeight="false" outlineLevel="0" collapsed="false">
      <c r="A12" s="1" t="n">
        <f aca="false">A11</f>
        <v>16.4</v>
      </c>
      <c r="B12" s="1" t="n">
        <v>0.55</v>
      </c>
      <c r="C12" s="1" t="n">
        <f aca="false">C11</f>
        <v>0</v>
      </c>
      <c r="D12" s="0" t="n">
        <v>550</v>
      </c>
      <c r="E12" s="1" t="n">
        <f aca="false">SUM(D12,-1*C12)</f>
        <v>550</v>
      </c>
      <c r="F12" s="1" t="n">
        <f aca="false">E12/1000</f>
        <v>0.55</v>
      </c>
      <c r="G12" s="1" t="n">
        <f aca="false">F12*9.81</f>
        <v>5.3955</v>
      </c>
    </row>
    <row r="13" customFormat="false" ht="12.8" hidden="false" customHeight="false" outlineLevel="0" collapsed="false">
      <c r="A13" s="1" t="n">
        <f aca="false">A12</f>
        <v>16.4</v>
      </c>
      <c r="B13" s="1" t="n">
        <v>0.6</v>
      </c>
      <c r="C13" s="1" t="n">
        <f aca="false">C12</f>
        <v>0</v>
      </c>
      <c r="D13" s="0" t="n">
        <v>668</v>
      </c>
      <c r="E13" s="1" t="n">
        <f aca="false">SUM(D13,-1*C13)</f>
        <v>668</v>
      </c>
      <c r="F13" s="1" t="n">
        <f aca="false">E13/1000</f>
        <v>0.668</v>
      </c>
      <c r="G13" s="1" t="n">
        <f aca="false">F13*9.81</f>
        <v>6.55308</v>
      </c>
    </row>
    <row r="14" customFormat="false" ht="12.8" hidden="false" customHeight="false" outlineLevel="0" collapsed="false">
      <c r="A14" s="1" t="n">
        <f aca="false">A13</f>
        <v>16.4</v>
      </c>
      <c r="B14" s="1" t="n">
        <v>0.65</v>
      </c>
      <c r="C14" s="1" t="n">
        <f aca="false">C13</f>
        <v>0</v>
      </c>
      <c r="D14" s="0" t="n">
        <v>732</v>
      </c>
      <c r="E14" s="1" t="n">
        <f aca="false">SUM(D14,-1*C14)</f>
        <v>732</v>
      </c>
      <c r="F14" s="1" t="n">
        <f aca="false">E14/1000</f>
        <v>0.732</v>
      </c>
      <c r="G14" s="1" t="n">
        <f aca="false">F14*9.81</f>
        <v>7.18092</v>
      </c>
    </row>
    <row r="15" customFormat="false" ht="12.8" hidden="false" customHeight="false" outlineLevel="0" collapsed="false">
      <c r="A15" s="1" t="n">
        <f aca="false">A14</f>
        <v>16.4</v>
      </c>
      <c r="B15" s="1" t="n">
        <v>0.7</v>
      </c>
      <c r="C15" s="1" t="n">
        <f aca="false">C14</f>
        <v>0</v>
      </c>
      <c r="D15" s="0" t="n">
        <v>811</v>
      </c>
      <c r="E15" s="1" t="n">
        <f aca="false">SUM(D15,-1*C15)</f>
        <v>811</v>
      </c>
      <c r="F15" s="1" t="n">
        <f aca="false">E15/1000</f>
        <v>0.811</v>
      </c>
      <c r="G15" s="1" t="n">
        <f aca="false">F15*9.81</f>
        <v>7.95591</v>
      </c>
    </row>
    <row r="16" customFormat="false" ht="12.8" hidden="false" customHeight="false" outlineLevel="0" collapsed="false">
      <c r="A16" s="1" t="n">
        <f aca="false">A15</f>
        <v>16.4</v>
      </c>
      <c r="B16" s="1" t="n">
        <v>0.75</v>
      </c>
      <c r="C16" s="1" t="n">
        <f aca="false">C15</f>
        <v>0</v>
      </c>
      <c r="D16" s="0" t="n">
        <v>892</v>
      </c>
      <c r="E16" s="1" t="n">
        <f aca="false">SUM(D16,-1*C16)</f>
        <v>892</v>
      </c>
      <c r="F16" s="1" t="n">
        <f aca="false">E16/1000</f>
        <v>0.892</v>
      </c>
      <c r="G16" s="1" t="n">
        <f aca="false">F16*9.81</f>
        <v>8.75052</v>
      </c>
    </row>
    <row r="17" customFormat="false" ht="12.8" hidden="false" customHeight="false" outlineLevel="0" collapsed="false">
      <c r="A17" s="1" t="n">
        <f aca="false">A16</f>
        <v>16.4</v>
      </c>
      <c r="B17" s="1" t="n">
        <v>0.8</v>
      </c>
      <c r="C17" s="1" t="n">
        <f aca="false">C16</f>
        <v>0</v>
      </c>
      <c r="D17" s="0" t="n">
        <v>962</v>
      </c>
      <c r="E17" s="1" t="n">
        <f aca="false">SUM(D17,-1*C17)</f>
        <v>962</v>
      </c>
      <c r="F17" s="1" t="n">
        <f aca="false">E17/1000</f>
        <v>0.962</v>
      </c>
      <c r="G17" s="1" t="n">
        <f aca="false">F17*9.81</f>
        <v>9.43722</v>
      </c>
    </row>
    <row r="18" customFormat="false" ht="12.8" hidden="false" customHeight="false" outlineLevel="0" collapsed="false">
      <c r="A18" s="1" t="n">
        <f aca="false">A17</f>
        <v>16.4</v>
      </c>
      <c r="B18" s="1" t="n">
        <v>0.85</v>
      </c>
      <c r="C18" s="1" t="n">
        <f aca="false">C17</f>
        <v>0</v>
      </c>
      <c r="D18" s="0" t="n">
        <v>1020</v>
      </c>
      <c r="E18" s="1" t="n">
        <f aca="false">SUM(D18,-1*C18)</f>
        <v>1020</v>
      </c>
      <c r="F18" s="1" t="n">
        <f aca="false">E18/1000</f>
        <v>1.02</v>
      </c>
      <c r="G18" s="1" t="n">
        <f aca="false">F18*9.81</f>
        <v>10.0062</v>
      </c>
    </row>
    <row r="19" customFormat="false" ht="12.8" hidden="false" customHeight="false" outlineLevel="0" collapsed="false">
      <c r="A19" s="1" t="n">
        <f aca="false">A18</f>
        <v>16.4</v>
      </c>
      <c r="B19" s="1" t="n">
        <v>0.9</v>
      </c>
      <c r="C19" s="1" t="n">
        <f aca="false">C18</f>
        <v>0</v>
      </c>
      <c r="D19" s="0" t="n">
        <v>1000</v>
      </c>
      <c r="E19" s="1" t="n">
        <f aca="false">SUM(D19,-1*C19)</f>
        <v>1000</v>
      </c>
      <c r="F19" s="1" t="n">
        <f aca="false">E19/1000</f>
        <v>1</v>
      </c>
      <c r="G19" s="1" t="n">
        <f aca="false">F19*9.81</f>
        <v>9.81</v>
      </c>
    </row>
    <row r="20" customFormat="false" ht="12.8" hidden="false" customHeight="false" outlineLevel="0" collapsed="false">
      <c r="A20" s="1" t="n">
        <f aca="false">A19</f>
        <v>16.4</v>
      </c>
      <c r="B20" s="1" t="n">
        <v>0.95</v>
      </c>
      <c r="C20" s="1" t="n">
        <f aca="false">C19</f>
        <v>0</v>
      </c>
      <c r="D20" s="0" t="n">
        <v>1010</v>
      </c>
      <c r="E20" s="1" t="n">
        <f aca="false">SUM(D20,-1*C20)</f>
        <v>1010</v>
      </c>
      <c r="F20" s="1" t="n">
        <f aca="false">E20/1000</f>
        <v>1.01</v>
      </c>
      <c r="G20" s="1" t="n">
        <f aca="false">F20*9.81</f>
        <v>9.9081</v>
      </c>
    </row>
    <row r="21" customFormat="false" ht="12.8" hidden="false" customHeight="false" outlineLevel="0" collapsed="false">
      <c r="A21" s="1" t="n">
        <f aca="false">A20</f>
        <v>16.4</v>
      </c>
      <c r="B21" s="1" t="n">
        <v>1</v>
      </c>
      <c r="C21" s="1" t="n">
        <f aca="false">C20</f>
        <v>0</v>
      </c>
      <c r="D21" s="0" t="n">
        <v>1020</v>
      </c>
      <c r="E21" s="1" t="n">
        <f aca="false">SUM(D21,-1*C21)</f>
        <v>1020</v>
      </c>
      <c r="F21" s="1" t="n">
        <f aca="false">E21/1000</f>
        <v>1.02</v>
      </c>
      <c r="G21" s="1" t="n">
        <f aca="false">F21*9.81</f>
        <v>10.0062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273</TotalTime>
  <Application>LibreOffice/26.2.3.2$Linux_X86_64 LibreOffice_project/d4d5ed47b6084125f28d269a5650105d54dde034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2024-05-09T13:02:34Z</dcterms:created>
  <dc:creator/>
  <dc:description/>
  <dc:language>en-US</dc:language>
  <cp:lastModifiedBy/>
  <dcterms:modified xsi:type="dcterms:W3CDTF">2026-06-12T19:36:04Z</dcterms:modified>
  <cp:revision>19</cp:revision>
  <dc:subject/>
  <dc:title/>
</cp:coreProperties>
</file>