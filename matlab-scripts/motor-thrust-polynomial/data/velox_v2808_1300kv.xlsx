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 1" sheetId="1" state="visible" r:id="rId2"/>
    <sheet name="Run 2" sheetId="2" state="visible" r:id="rId3"/>
    <sheet name="Run 3" sheetId="3" state="visible" r:id="rId4"/>
    <sheet name="Run 4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<sst xmlns="http://schemas.openxmlformats.org/spreadsheetml/2006/main" count="28" uniqueCount="7">
  <si>
    <t xml:space="preserve">Battery
Voltage
(V)</t>
  </si>
  <si>
    <t xml:space="preserve">Control
Input</t>
  </si>
  <si>
    <t xml:space="preserve">Tare
Value
(g)</t>
  </si>
  <si>
    <t xml:space="preserve">Steady
Thrust
(g)</t>
  </si>
  <si>
    <t xml:space="preserve">Corrected
Thrust
(g)</t>
  </si>
  <si>
    <t xml:space="preserve">Corrected
Thrust
(Kg)</t>
  </si>
  <si>
    <t xml:space="preserve">Corrected
Thrust
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</si>
</sst>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24.45"/>
    <col collapsed="false" customWidth="true" hidden="false" outlineLevel="0" max="3" min="3" style="0" width="25.14"/>
    <col collapsed="false" customWidth="true" hidden="false" outlineLevel="0" max="4" min="4" style="0" width="24.73"/>
    <col collapsed="false" customWidth="true" hidden="false" outlineLevel="0" max="5" min="5" style="0" width="21.67"/>
    <col collapsed="false" customWidth="true" hidden="false" outlineLevel="0" max="6" min="6" style="0" width="19.17"/>
    <col collapsed="false" customWidth="true" hidden="false" outlineLevel="0" max="7" min="7" style="0" width="20.42"/>
  </cols>
  <sheetData>
    <row r="1" customFormat="false" ht="7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23.72</v>
      </c>
      <c r="B2" s="0" t="n">
        <v>0.05</v>
      </c>
      <c r="C2" s="0" t="n">
        <v>0</v>
      </c>
      <c r="D2" s="0" t="n">
        <v>44</v>
      </c>
      <c r="E2" s="0" t="n">
        <f aca="false">D2-C2</f>
        <v>44</v>
      </c>
      <c r="F2" s="0" t="n">
        <f aca="false">E2/1000</f>
        <v>0.044</v>
      </c>
      <c r="G2" s="0" t="n">
        <f aca="false">F2*9.81</f>
        <v>0.43164</v>
      </c>
    </row>
    <row r="3" customFormat="false" ht="12.8" hidden="false" customHeight="false" outlineLevel="0" collapsed="false">
      <c r="A3" s="0" t="n">
        <v>23.72</v>
      </c>
      <c r="B3" s="0" t="n">
        <v>0.1</v>
      </c>
      <c r="C3" s="0" t="n">
        <v>0</v>
      </c>
      <c r="D3" s="0" t="n">
        <v>90</v>
      </c>
      <c r="E3" s="0" t="n">
        <f aca="false">D3-C3</f>
        <v>90</v>
      </c>
      <c r="F3" s="0" t="n">
        <f aca="false">E3/1000</f>
        <v>0.09</v>
      </c>
      <c r="G3" s="0" t="n">
        <f aca="false">F3*9.81</f>
        <v>0.8829</v>
      </c>
    </row>
    <row r="4" customFormat="false" ht="12.8" hidden="false" customHeight="false" outlineLevel="0" collapsed="false">
      <c r="A4" s="0" t="n">
        <v>23.73</v>
      </c>
      <c r="B4" s="0" t="n">
        <v>0.15</v>
      </c>
      <c r="C4" s="0" t="n">
        <v>0</v>
      </c>
      <c r="D4" s="0" t="n">
        <v>132</v>
      </c>
      <c r="E4" s="0" t="n">
        <f aca="false">D4-C4</f>
        <v>132</v>
      </c>
      <c r="F4" s="0" t="n">
        <f aca="false">E4/1000</f>
        <v>0.132</v>
      </c>
      <c r="G4" s="0" t="n">
        <f aca="false">F4*9.81</f>
        <v>1.29492</v>
      </c>
    </row>
    <row r="5" customFormat="false" ht="12.8" hidden="false" customHeight="false" outlineLevel="0" collapsed="false">
      <c r="A5" s="0" t="n">
        <v>23.73</v>
      </c>
      <c r="B5" s="0" t="n">
        <v>0.2</v>
      </c>
      <c r="C5" s="0" t="n">
        <v>0</v>
      </c>
      <c r="D5" s="0" t="n">
        <v>210</v>
      </c>
      <c r="E5" s="0" t="n">
        <f aca="false">D5-C5</f>
        <v>210</v>
      </c>
      <c r="F5" s="0" t="n">
        <f aca="false">E5/1000</f>
        <v>0.21</v>
      </c>
      <c r="G5" s="0" t="n">
        <f aca="false">F5*9.81</f>
        <v>2.0601</v>
      </c>
    </row>
    <row r="6" customFormat="false" ht="12.8" hidden="false" customHeight="false" outlineLevel="0" collapsed="false">
      <c r="A6" s="0" t="n">
        <v>23.73</v>
      </c>
      <c r="B6" s="0" t="n">
        <v>0.25</v>
      </c>
      <c r="C6" s="0" t="n">
        <v>0</v>
      </c>
      <c r="D6" s="0" t="n">
        <v>260</v>
      </c>
      <c r="E6" s="0" t="n">
        <f aca="false">D6-C6</f>
        <v>260</v>
      </c>
      <c r="F6" s="0" t="n">
        <f aca="false">E6/1000</f>
        <v>0.26</v>
      </c>
      <c r="G6" s="0" t="n">
        <f aca="false">F6*9.81</f>
        <v>2.5506</v>
      </c>
    </row>
    <row r="7" customFormat="false" ht="12.8" hidden="false" customHeight="false" outlineLevel="0" collapsed="false">
      <c r="A7" s="0" t="n">
        <v>23.73</v>
      </c>
      <c r="B7" s="0" t="n">
        <v>0.3</v>
      </c>
      <c r="C7" s="0" t="n">
        <v>0</v>
      </c>
      <c r="D7" s="0" t="n">
        <v>350</v>
      </c>
      <c r="E7" s="0" t="n">
        <f aca="false">D7-C7</f>
        <v>350</v>
      </c>
      <c r="F7" s="0" t="n">
        <f aca="false">E7/1000</f>
        <v>0.35</v>
      </c>
      <c r="G7" s="0" t="n">
        <f aca="false">F7*9.81</f>
        <v>3.4335</v>
      </c>
    </row>
    <row r="8" customFormat="false" ht="12.8" hidden="false" customHeight="false" outlineLevel="0" collapsed="false">
      <c r="A8" s="0" t="n">
        <v>23.74</v>
      </c>
      <c r="B8" s="0" t="n">
        <v>0.35</v>
      </c>
      <c r="C8" s="0" t="n">
        <v>0</v>
      </c>
      <c r="D8" s="0" t="n">
        <v>445</v>
      </c>
      <c r="E8" s="0" t="n">
        <f aca="false">D8-C8</f>
        <v>445</v>
      </c>
      <c r="F8" s="0" t="n">
        <f aca="false">E8/1000</f>
        <v>0.445</v>
      </c>
      <c r="G8" s="0" t="n">
        <f aca="false">F8*9.81</f>
        <v>4.36545</v>
      </c>
    </row>
    <row r="9" customFormat="false" ht="12.8" hidden="false" customHeight="false" outlineLevel="0" collapsed="false">
      <c r="A9" s="0" t="n">
        <v>23.77</v>
      </c>
      <c r="B9" s="0" t="n">
        <v>0.4</v>
      </c>
      <c r="C9" s="0" t="n">
        <v>0</v>
      </c>
      <c r="D9" s="0" t="n">
        <v>530</v>
      </c>
      <c r="E9" s="0" t="n">
        <f aca="false">D9-C9</f>
        <v>530</v>
      </c>
      <c r="F9" s="0" t="n">
        <f aca="false">E9/1000</f>
        <v>0.53</v>
      </c>
      <c r="G9" s="0" t="n">
        <f aca="false">F9*9.81</f>
        <v>5.1993</v>
      </c>
    </row>
    <row r="10" customFormat="false" ht="12.8" hidden="false" customHeight="false" outlineLevel="0" collapsed="false">
      <c r="A10" s="0" t="n">
        <v>23.81</v>
      </c>
      <c r="B10" s="0" t="n">
        <v>0.45</v>
      </c>
      <c r="C10" s="0" t="n">
        <v>0</v>
      </c>
      <c r="D10" s="0" t="n">
        <v>650</v>
      </c>
      <c r="E10" s="0" t="n">
        <f aca="false">D10-C10</f>
        <v>650</v>
      </c>
      <c r="F10" s="0" t="n">
        <f aca="false">E10/1000</f>
        <v>0.65</v>
      </c>
      <c r="G10" s="0" t="n">
        <f aca="false">F10*9.81</f>
        <v>6.3765</v>
      </c>
    </row>
    <row r="11" customFormat="false" ht="12.8" hidden="false" customHeight="false" outlineLevel="0" collapsed="false">
      <c r="A11" s="0" t="n">
        <v>23.86</v>
      </c>
      <c r="B11" s="0" t="n">
        <v>0.5</v>
      </c>
      <c r="C11" s="0" t="n">
        <v>0</v>
      </c>
      <c r="D11" s="0" t="n">
        <v>755</v>
      </c>
      <c r="E11" s="0" t="n">
        <f aca="false">D11-C11</f>
        <v>755</v>
      </c>
      <c r="F11" s="0" t="n">
        <f aca="false">E11/1000</f>
        <v>0.755</v>
      </c>
      <c r="G11" s="0" t="n">
        <f aca="false">F11*9.81</f>
        <v>7.40655</v>
      </c>
    </row>
    <row r="12" customFormat="false" ht="12.8" hidden="false" customHeight="false" outlineLevel="0" collapsed="false">
      <c r="A12" s="0" t="n">
        <v>23.86</v>
      </c>
      <c r="B12" s="0" t="n">
        <v>0.55</v>
      </c>
      <c r="C12" s="0" t="n">
        <v>0</v>
      </c>
      <c r="D12" s="0" t="n">
        <v>858</v>
      </c>
      <c r="E12" s="0" t="n">
        <f aca="false">D12-C12</f>
        <v>858</v>
      </c>
      <c r="F12" s="0" t="n">
        <f aca="false">E12/1000</f>
        <v>0.858</v>
      </c>
      <c r="G12" s="0" t="n">
        <f aca="false">F12*9.81</f>
        <v>8.41698</v>
      </c>
    </row>
    <row r="13" customFormat="false" ht="12.8" hidden="false" customHeight="false" outlineLevel="0" collapsed="false">
      <c r="A13" s="0" t="n">
        <v>23.89</v>
      </c>
      <c r="B13" s="0" t="n">
        <v>0.6</v>
      </c>
      <c r="C13" s="0" t="n">
        <v>0</v>
      </c>
      <c r="D13" s="0" t="n">
        <v>960</v>
      </c>
      <c r="E13" s="0" t="n">
        <f aca="false">D13-C13</f>
        <v>960</v>
      </c>
      <c r="F13" s="0" t="n">
        <f aca="false">E13/1000</f>
        <v>0.96</v>
      </c>
      <c r="G13" s="0" t="n">
        <f aca="false">F13*9.81</f>
        <v>9.4176</v>
      </c>
    </row>
    <row r="14" customFormat="false" ht="12.8" hidden="false" customHeight="false" outlineLevel="0" collapsed="false">
      <c r="A14" s="0" t="n">
        <v>24</v>
      </c>
      <c r="B14" s="0" t="n">
        <v>0.65</v>
      </c>
      <c r="C14" s="0" t="n">
        <v>0</v>
      </c>
      <c r="D14" s="0" t="n">
        <v>1084</v>
      </c>
      <c r="E14" s="0" t="n">
        <f aca="false">D14-C14</f>
        <v>1084</v>
      </c>
      <c r="F14" s="0" t="n">
        <f aca="false">E14/1000</f>
        <v>1.084</v>
      </c>
      <c r="G14" s="0" t="n">
        <f aca="false">F14*9.81</f>
        <v>10.63404</v>
      </c>
    </row>
    <row r="15" customFormat="false" ht="12.8" hidden="false" customHeight="false" outlineLevel="0" collapsed="false">
      <c r="A15" s="0" t="n">
        <v>24.09</v>
      </c>
      <c r="B15" s="0" t="n">
        <v>0.7</v>
      </c>
      <c r="C15" s="0" t="n">
        <v>0</v>
      </c>
      <c r="D15" s="0" t="n">
        <v>1199</v>
      </c>
      <c r="E15" s="0" t="n">
        <f aca="false">D15-C15</f>
        <v>1199</v>
      </c>
      <c r="F15" s="0" t="n">
        <f aca="false">E15/1000</f>
        <v>1.199</v>
      </c>
      <c r="G15" s="0" t="n">
        <f aca="false">F15*9.81</f>
        <v>11.76219</v>
      </c>
    </row>
    <row r="16" customFormat="false" ht="12.8" hidden="false" customHeight="false" outlineLevel="0" collapsed="false">
      <c r="A16" s="0" t="n">
        <v>24.24</v>
      </c>
      <c r="B16" s="0" t="n">
        <v>0.75</v>
      </c>
      <c r="C16" s="0" t="n">
        <v>0</v>
      </c>
      <c r="D16" s="0" t="n">
        <v>1320</v>
      </c>
      <c r="E16" s="0" t="n">
        <f aca="false">D16-C16</f>
        <v>1320</v>
      </c>
      <c r="F16" s="0" t="n">
        <f aca="false">E16/1000</f>
        <v>1.32</v>
      </c>
      <c r="G16" s="0" t="n">
        <f aca="false">F16*9.81</f>
        <v>12.9492</v>
      </c>
    </row>
    <row r="17" customFormat="false" ht="12.8" hidden="false" customHeight="false" outlineLevel="0" collapsed="false">
      <c r="A17" s="0" t="n">
        <v>24.42</v>
      </c>
      <c r="B17" s="0" t="n">
        <v>0.8</v>
      </c>
      <c r="C17" s="0" t="n">
        <v>0</v>
      </c>
      <c r="D17" s="0" t="n">
        <v>1418</v>
      </c>
      <c r="E17" s="0" t="n">
        <f aca="false">D17-C17</f>
        <v>1418</v>
      </c>
      <c r="F17" s="0" t="n">
        <f aca="false">E17/1000</f>
        <v>1.418</v>
      </c>
      <c r="G17" s="0" t="n">
        <f aca="false">F17*9.81</f>
        <v>13.91058</v>
      </c>
    </row>
    <row r="18" customFormat="false" ht="12.8" hidden="false" customHeight="false" outlineLevel="0" collapsed="false">
      <c r="A18" s="0" t="n">
        <v>24.45</v>
      </c>
      <c r="B18" s="0" t="n">
        <v>0.85</v>
      </c>
      <c r="C18" s="0" t="n">
        <v>0</v>
      </c>
      <c r="D18" s="0" t="n">
        <v>1462</v>
      </c>
      <c r="E18" s="0" t="n">
        <f aca="false">D18-C18</f>
        <v>1462</v>
      </c>
      <c r="F18" s="0" t="n">
        <f aca="false">E18/1000</f>
        <v>1.462</v>
      </c>
      <c r="G18" s="0" t="n">
        <f aca="false">F18*9.81</f>
        <v>14.34222</v>
      </c>
    </row>
    <row r="19" customFormat="false" ht="12.8" hidden="false" customHeight="false" outlineLevel="0" collapsed="false">
      <c r="A19" s="0" t="n">
        <v>24.69</v>
      </c>
      <c r="B19" s="0" t="n">
        <v>0.9</v>
      </c>
      <c r="C19" s="0" t="n">
        <v>0</v>
      </c>
      <c r="D19" s="0" t="n">
        <v>1671</v>
      </c>
      <c r="E19" s="0" t="n">
        <f aca="false">D19-C19</f>
        <v>1671</v>
      </c>
      <c r="F19" s="0" t="n">
        <f aca="false">E19/1000</f>
        <v>1.671</v>
      </c>
      <c r="G19" s="0" t="n">
        <f aca="false">F19*9.81</f>
        <v>16.39251</v>
      </c>
    </row>
    <row r="20" customFormat="false" ht="12.8" hidden="false" customHeight="false" outlineLevel="0" collapsed="false">
      <c r="A20" s="0" t="n">
        <v>24.8</v>
      </c>
      <c r="B20" s="0" t="n">
        <v>0.95</v>
      </c>
      <c r="C20" s="0" t="n">
        <v>0</v>
      </c>
      <c r="D20" s="0" t="n">
        <v>1790</v>
      </c>
      <c r="E20" s="0" t="n">
        <f aca="false">D20-C20</f>
        <v>1790</v>
      </c>
      <c r="F20" s="0" t="n">
        <f aca="false">E20/1000</f>
        <v>1.79</v>
      </c>
      <c r="G20" s="0" t="n">
        <f aca="false">F20*9.81</f>
        <v>17.5599</v>
      </c>
    </row>
    <row r="21" customFormat="false" ht="12.8" hidden="false" customHeight="false" outlineLevel="0" collapsed="false">
      <c r="A21" s="0" t="n">
        <v>24.82</v>
      </c>
      <c r="B21" s="0" t="n">
        <v>1</v>
      </c>
      <c r="C21" s="0" t="n">
        <v>0</v>
      </c>
      <c r="D21" s="0" t="n">
        <v>1928</v>
      </c>
      <c r="E21" s="0" t="n">
        <f aca="false">D21-C21</f>
        <v>1928</v>
      </c>
      <c r="F21" s="0" t="n">
        <f aca="false">E21/1000</f>
        <v>1.928</v>
      </c>
      <c r="G21" s="0" t="n">
        <f aca="false">F21*9.81</f>
        <v>18.91368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24.45"/>
    <col collapsed="false" customWidth="true" hidden="false" outlineLevel="0" max="3" min="3" style="0" width="25.14"/>
    <col collapsed="false" customWidth="true" hidden="false" outlineLevel="0" max="4" min="4" style="0" width="24.73"/>
    <col collapsed="false" customWidth="true" hidden="false" outlineLevel="0" max="5" min="5" style="0" width="21.67"/>
    <col collapsed="false" customWidth="true" hidden="false" outlineLevel="0" max="6" min="6" style="0" width="19.45"/>
    <col collapsed="false" customWidth="true" hidden="false" outlineLevel="0" max="7" min="7" style="0" width="16.26"/>
  </cols>
  <sheetData>
    <row r="1" customFormat="false" ht="7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24.76</v>
      </c>
      <c r="B2" s="0" t="n">
        <v>0.05</v>
      </c>
      <c r="C2" s="0" t="n">
        <v>-0.17</v>
      </c>
      <c r="D2" s="0" t="n">
        <v>48.67</v>
      </c>
      <c r="E2" s="0" t="n">
        <f aca="false">D2-C2</f>
        <v>48.84</v>
      </c>
      <c r="F2" s="0" t="n">
        <f aca="false">E2/1000</f>
        <v>0.04884</v>
      </c>
      <c r="G2" s="0" t="n">
        <f aca="false">F2*9.81</f>
        <v>0.4791204</v>
      </c>
    </row>
    <row r="3" customFormat="false" ht="12.8" hidden="false" customHeight="false" outlineLevel="0" collapsed="false">
      <c r="A3" s="0" t="n">
        <v>24.88</v>
      </c>
      <c r="B3" s="0" t="n">
        <v>0.1</v>
      </c>
      <c r="C3" s="0" t="n">
        <v>-0.31</v>
      </c>
      <c r="D3" s="0" t="n">
        <v>90.65</v>
      </c>
      <c r="E3" s="0" t="n">
        <f aca="false">D3-C3</f>
        <v>90.96</v>
      </c>
      <c r="F3" s="0" t="n">
        <f aca="false">E3/1000</f>
        <v>0.09096</v>
      </c>
      <c r="G3" s="0" t="n">
        <f aca="false">F3*9.81</f>
        <v>0.8923176</v>
      </c>
    </row>
    <row r="4" customFormat="false" ht="12.8" hidden="false" customHeight="false" outlineLevel="0" collapsed="false">
      <c r="A4" s="0" t="n">
        <v>24.66</v>
      </c>
      <c r="B4" s="0" t="n">
        <v>0.15</v>
      </c>
      <c r="C4" s="0" t="n">
        <v>-0.42</v>
      </c>
      <c r="D4" s="0" t="n">
        <v>150.5</v>
      </c>
      <c r="E4" s="0" t="n">
        <f aca="false">D4-C4</f>
        <v>150.92</v>
      </c>
      <c r="F4" s="0" t="n">
        <f aca="false">E4/1000</f>
        <v>0.15092</v>
      </c>
      <c r="G4" s="0" t="n">
        <f aca="false">F4*9.81</f>
        <v>1.4805252</v>
      </c>
    </row>
    <row r="5" customFormat="false" ht="12.8" hidden="false" customHeight="false" outlineLevel="0" collapsed="false">
      <c r="A5" s="0" t="n">
        <v>24.86</v>
      </c>
      <c r="B5" s="0" t="n">
        <v>0.2</v>
      </c>
      <c r="C5" s="0" t="n">
        <v>-0.08</v>
      </c>
      <c r="D5" s="0" t="n">
        <v>226</v>
      </c>
      <c r="E5" s="0" t="n">
        <f aca="false">D5-C5</f>
        <v>226.08</v>
      </c>
      <c r="F5" s="0" t="n">
        <f aca="false">E5/1000</f>
        <v>0.22608</v>
      </c>
      <c r="G5" s="0" t="n">
        <f aca="false">F5*9.81</f>
        <v>2.2178448</v>
      </c>
    </row>
    <row r="6" customFormat="false" ht="12.8" hidden="false" customHeight="false" outlineLevel="0" collapsed="false">
      <c r="A6" s="0" t="n">
        <v>24.81</v>
      </c>
      <c r="B6" s="0" t="n">
        <v>0.25</v>
      </c>
      <c r="C6" s="0" t="n">
        <v>-0.2</v>
      </c>
      <c r="D6" s="0" t="n">
        <v>300.23</v>
      </c>
      <c r="E6" s="0" t="n">
        <f aca="false">D6-C6</f>
        <v>300.43</v>
      </c>
      <c r="F6" s="0" t="n">
        <f aca="false">E6/1000</f>
        <v>0.30043</v>
      </c>
      <c r="G6" s="0" t="n">
        <f aca="false">F6*9.81</f>
        <v>2.9472183</v>
      </c>
    </row>
    <row r="7" customFormat="false" ht="12.8" hidden="false" customHeight="false" outlineLevel="0" collapsed="false">
      <c r="A7" s="0" t="n">
        <v>24.8</v>
      </c>
      <c r="B7" s="0" t="n">
        <v>0.3</v>
      </c>
      <c r="C7" s="0" t="n">
        <v>-0.4</v>
      </c>
      <c r="D7" s="0" t="n">
        <v>380.23</v>
      </c>
      <c r="E7" s="0" t="n">
        <f aca="false">D7-C7</f>
        <v>380.63</v>
      </c>
      <c r="F7" s="0" t="n">
        <f aca="false">E7/1000</f>
        <v>0.38063</v>
      </c>
      <c r="G7" s="0" t="n">
        <f aca="false">F7*9.81</f>
        <v>3.7339803</v>
      </c>
    </row>
    <row r="8" customFormat="false" ht="12.8" hidden="false" customHeight="false" outlineLevel="0" collapsed="false">
      <c r="A8" s="0" t="n">
        <v>24.79</v>
      </c>
      <c r="B8" s="0" t="n">
        <v>0.35</v>
      </c>
      <c r="C8" s="0" t="n">
        <v>-0.35</v>
      </c>
      <c r="D8" s="0" t="n">
        <v>488</v>
      </c>
      <c r="E8" s="0" t="n">
        <f aca="false">D8-C8</f>
        <v>488.35</v>
      </c>
      <c r="F8" s="0" t="n">
        <f aca="false">E8/1000</f>
        <v>0.48835</v>
      </c>
      <c r="G8" s="0" t="n">
        <f aca="false">F8*9.81</f>
        <v>4.7907135</v>
      </c>
    </row>
    <row r="9" customFormat="false" ht="12.8" hidden="false" customHeight="false" outlineLevel="0" collapsed="false">
      <c r="A9" s="0" t="n">
        <v>24.76</v>
      </c>
      <c r="B9" s="0" t="n">
        <v>0.4</v>
      </c>
      <c r="C9" s="0" t="n">
        <v>-1.29</v>
      </c>
      <c r="D9" s="0" t="n">
        <v>567</v>
      </c>
      <c r="E9" s="0" t="n">
        <f aca="false">D9-C9</f>
        <v>568.29</v>
      </c>
      <c r="F9" s="0" t="n">
        <f aca="false">E9/1000</f>
        <v>0.56829</v>
      </c>
      <c r="G9" s="0" t="n">
        <f aca="false">F9*9.81</f>
        <v>5.5749249</v>
      </c>
    </row>
    <row r="10" customFormat="false" ht="12.8" hidden="false" customHeight="false" outlineLevel="0" collapsed="false">
      <c r="A10" s="0" t="n">
        <v>24.72</v>
      </c>
      <c r="B10" s="0" t="n">
        <v>0.45</v>
      </c>
      <c r="C10" s="0" t="n">
        <v>-0.45</v>
      </c>
      <c r="D10" s="0" t="n">
        <v>680</v>
      </c>
      <c r="E10" s="0" t="n">
        <f aca="false">D10-C10</f>
        <v>680.45</v>
      </c>
      <c r="F10" s="0" t="n">
        <f aca="false">E10/1000</f>
        <v>0.68045</v>
      </c>
      <c r="G10" s="0" t="n">
        <f aca="false">F10*9.81</f>
        <v>6.6752145</v>
      </c>
    </row>
    <row r="11" customFormat="false" ht="12.8" hidden="false" customHeight="false" outlineLevel="0" collapsed="false">
      <c r="A11" s="0" t="n">
        <v>24.68</v>
      </c>
      <c r="B11" s="0" t="n">
        <v>0.5</v>
      </c>
      <c r="C11" s="0" t="n">
        <v>-1.4</v>
      </c>
      <c r="D11" s="0" t="n">
        <v>782</v>
      </c>
      <c r="E11" s="0" t="n">
        <f aca="false">D11-C11</f>
        <v>783.4</v>
      </c>
      <c r="F11" s="0" t="n">
        <f aca="false">E11/1000</f>
        <v>0.7834</v>
      </c>
      <c r="G11" s="0" t="n">
        <f aca="false">F11*9.81</f>
        <v>7.685154</v>
      </c>
    </row>
    <row r="12" customFormat="false" ht="12.8" hidden="false" customHeight="false" outlineLevel="0" collapsed="false">
      <c r="A12" s="0" t="n">
        <v>24.52</v>
      </c>
      <c r="B12" s="0" t="n">
        <v>0.55</v>
      </c>
      <c r="C12" s="0" t="n">
        <v>0.2</v>
      </c>
      <c r="D12" s="0" t="n">
        <v>901</v>
      </c>
      <c r="E12" s="0" t="n">
        <f aca="false">D12-C12</f>
        <v>900.8</v>
      </c>
      <c r="F12" s="0" t="n">
        <f aca="false">E12/1000</f>
        <v>0.9008</v>
      </c>
      <c r="G12" s="0" t="n">
        <f aca="false">F12*9.81</f>
        <v>8.836848</v>
      </c>
    </row>
    <row r="13" customFormat="false" ht="12.8" hidden="false" customHeight="false" outlineLevel="0" collapsed="false">
      <c r="A13" s="0" t="n">
        <v>24.5</v>
      </c>
      <c r="B13" s="0" t="n">
        <v>0.6</v>
      </c>
      <c r="C13" s="0" t="n">
        <v>0.1</v>
      </c>
      <c r="D13" s="0" t="n">
        <v>1000</v>
      </c>
      <c r="E13" s="0" t="n">
        <f aca="false">D13-C13</f>
        <v>999.9</v>
      </c>
      <c r="F13" s="0" t="n">
        <f aca="false">E13/1000</f>
        <v>0.9999</v>
      </c>
      <c r="G13" s="0" t="n">
        <f aca="false">F13*9.81</f>
        <v>9.809019</v>
      </c>
    </row>
    <row r="14" customFormat="false" ht="12.8" hidden="false" customHeight="false" outlineLevel="0" collapsed="false">
      <c r="A14" s="0" t="n">
        <v>24.47</v>
      </c>
      <c r="B14" s="0" t="n">
        <v>0.65</v>
      </c>
      <c r="C14" s="0" t="n">
        <v>0.63</v>
      </c>
      <c r="D14" s="0" t="n">
        <v>1120</v>
      </c>
      <c r="E14" s="0" t="n">
        <f aca="false">D14-C14</f>
        <v>1119.37</v>
      </c>
      <c r="F14" s="0" t="n">
        <f aca="false">E14/1000</f>
        <v>1.11937</v>
      </c>
      <c r="G14" s="0" t="n">
        <f aca="false">F14*9.81</f>
        <v>10.9810197</v>
      </c>
    </row>
    <row r="15" customFormat="false" ht="12.8" hidden="false" customHeight="false" outlineLevel="0" collapsed="false">
      <c r="A15" s="0" t="n">
        <v>23.85</v>
      </c>
      <c r="B15" s="0" t="n">
        <v>0.7</v>
      </c>
      <c r="C15" s="0" t="n">
        <v>0.2</v>
      </c>
      <c r="D15" s="0" t="n">
        <v>1245</v>
      </c>
      <c r="E15" s="0" t="n">
        <f aca="false">D15-C15</f>
        <v>1244.8</v>
      </c>
      <c r="F15" s="0" t="n">
        <f aca="false">E15/1000</f>
        <v>1.2448</v>
      </c>
      <c r="G15" s="0" t="n">
        <f aca="false">F15*9.81</f>
        <v>12.211488</v>
      </c>
    </row>
    <row r="16" customFormat="false" ht="12.8" hidden="false" customHeight="false" outlineLevel="0" collapsed="false">
      <c r="A16" s="0" t="n">
        <v>24.24</v>
      </c>
      <c r="B16" s="0" t="n">
        <v>0.75</v>
      </c>
      <c r="C16" s="0" t="n">
        <v>0.36</v>
      </c>
      <c r="D16" s="0" t="n">
        <v>1320</v>
      </c>
      <c r="E16" s="0" t="n">
        <f aca="false">D16-C16</f>
        <v>1319.64</v>
      </c>
      <c r="F16" s="0" t="n">
        <f aca="false">E16/1000</f>
        <v>1.31964</v>
      </c>
      <c r="G16" s="0" t="n">
        <f aca="false">F16*9.81</f>
        <v>12.9456684</v>
      </c>
    </row>
    <row r="17" customFormat="false" ht="12.8" hidden="false" customHeight="false" outlineLevel="0" collapsed="false">
      <c r="A17" s="0" t="n">
        <v>24.01</v>
      </c>
      <c r="B17" s="0" t="n">
        <v>0.8</v>
      </c>
      <c r="C17" s="0" t="n">
        <v>0.86</v>
      </c>
      <c r="D17" s="0" t="n">
        <v>1420</v>
      </c>
      <c r="E17" s="0" t="n">
        <f aca="false">D17-C17</f>
        <v>1419.14</v>
      </c>
      <c r="F17" s="0" t="n">
        <f aca="false">E17/1000</f>
        <v>1.41914</v>
      </c>
      <c r="G17" s="0" t="n">
        <f aca="false">F17*9.81</f>
        <v>13.9217634</v>
      </c>
    </row>
    <row r="18" customFormat="false" ht="12.8" hidden="false" customHeight="false" outlineLevel="0" collapsed="false">
      <c r="A18" s="0" t="n">
        <v>23.81</v>
      </c>
      <c r="B18" s="0" t="n">
        <v>0.85</v>
      </c>
      <c r="C18" s="0" t="n">
        <v>0</v>
      </c>
      <c r="D18" s="0" t="n">
        <v>1460</v>
      </c>
      <c r="E18" s="0" t="n">
        <f aca="false">D18-C18</f>
        <v>1460</v>
      </c>
      <c r="F18" s="0" t="n">
        <f aca="false">E18/1000</f>
        <v>1.46</v>
      </c>
      <c r="G18" s="0" t="n">
        <f aca="false">F18*9.81</f>
        <v>14.3226</v>
      </c>
    </row>
    <row r="19" customFormat="false" ht="12.8" hidden="false" customHeight="false" outlineLevel="0" collapsed="false">
      <c r="A19" s="0" t="n">
        <v>23.72</v>
      </c>
      <c r="B19" s="0" t="n">
        <v>0.9</v>
      </c>
      <c r="C19" s="0" t="n">
        <v>0.14</v>
      </c>
      <c r="D19" s="0" t="n">
        <v>1630</v>
      </c>
      <c r="E19" s="0" t="n">
        <f aca="false">D19-C19</f>
        <v>1629.86</v>
      </c>
      <c r="F19" s="0" t="n">
        <f aca="false">E19/1000</f>
        <v>1.62986</v>
      </c>
      <c r="G19" s="0" t="n">
        <f aca="false">F19*9.81</f>
        <v>15.9889266</v>
      </c>
    </row>
    <row r="20" customFormat="false" ht="12.8" hidden="false" customHeight="false" outlineLevel="0" collapsed="false">
      <c r="A20" s="0" t="n">
        <v>23.58</v>
      </c>
      <c r="B20" s="0" t="n">
        <v>0.95</v>
      </c>
      <c r="C20" s="0" t="n">
        <v>0.13</v>
      </c>
      <c r="D20" s="0" t="n">
        <v>1750</v>
      </c>
      <c r="E20" s="0" t="n">
        <f aca="false">D20-C20</f>
        <v>1749.87</v>
      </c>
      <c r="F20" s="0" t="n">
        <f aca="false">E20/1000</f>
        <v>1.74987</v>
      </c>
      <c r="G20" s="0" t="n">
        <f aca="false">F20*9.81</f>
        <v>17.1662247</v>
      </c>
    </row>
    <row r="21" customFormat="false" ht="12.8" hidden="false" customHeight="false" outlineLevel="0" collapsed="false">
      <c r="A21" s="0" t="n">
        <v>23.49</v>
      </c>
      <c r="B21" s="0" t="n">
        <v>1</v>
      </c>
      <c r="C21" s="0" t="n">
        <v>-0.16</v>
      </c>
      <c r="D21" s="0" t="n">
        <v>1820</v>
      </c>
      <c r="E21" s="0" t="n">
        <f aca="false">D21-C21</f>
        <v>1820.16</v>
      </c>
      <c r="F21" s="0" t="n">
        <f aca="false">E21/1000</f>
        <v>1.82016</v>
      </c>
      <c r="G21" s="0" t="n">
        <f aca="false">F21*9.81</f>
        <v>17.8557696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24.45"/>
    <col collapsed="false" customWidth="true" hidden="false" outlineLevel="0" max="3" min="3" style="0" width="25.14"/>
    <col collapsed="false" customWidth="true" hidden="false" outlineLevel="0" max="4" min="4" style="0" width="24.73"/>
    <col collapsed="false" customWidth="true" hidden="false" outlineLevel="0" max="5" min="5" style="0" width="21.67"/>
    <col collapsed="false" customWidth="true" hidden="false" outlineLevel="0" max="6" min="6" style="0" width="22.62"/>
    <col collapsed="false" customWidth="true" hidden="false" outlineLevel="0" max="7" min="7" style="0" width="23.08"/>
  </cols>
  <sheetData>
    <row r="1" customFormat="false" ht="7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23.72</v>
      </c>
      <c r="B2" s="0" t="n">
        <v>0.05</v>
      </c>
      <c r="C2" s="0" t="n">
        <v>-0.18</v>
      </c>
      <c r="D2" s="0" t="n">
        <v>42</v>
      </c>
      <c r="E2" s="0" t="n">
        <f aca="false">SUM(D2,-1*C2)</f>
        <v>42.18</v>
      </c>
      <c r="F2" s="0" t="n">
        <f aca="false">E2/1000</f>
        <v>0.04218</v>
      </c>
      <c r="G2" s="0" t="n">
        <f aca="false">F2*9.81</f>
        <v>0.4137858</v>
      </c>
    </row>
    <row r="3" customFormat="false" ht="12.8" hidden="false" customHeight="false" outlineLevel="0" collapsed="false">
      <c r="A3" s="0" t="n">
        <v>23.72</v>
      </c>
      <c r="B3" s="0" t="n">
        <v>0.1</v>
      </c>
      <c r="C3" s="0" t="n">
        <v>0</v>
      </c>
      <c r="D3" s="0" t="n">
        <v>88</v>
      </c>
      <c r="E3" s="0" t="n">
        <f aca="false">SUM(D3,-1*C3)</f>
        <v>88</v>
      </c>
      <c r="F3" s="0" t="n">
        <f aca="false">E3/1000</f>
        <v>0.088</v>
      </c>
      <c r="G3" s="0" t="n">
        <f aca="false">F3*9.81</f>
        <v>0.86328</v>
      </c>
    </row>
    <row r="4" customFormat="false" ht="12.8" hidden="false" customHeight="false" outlineLevel="0" collapsed="false">
      <c r="A4" s="0" t="n">
        <v>23.73</v>
      </c>
      <c r="B4" s="0" t="n">
        <v>0.15</v>
      </c>
      <c r="C4" s="0" t="n">
        <v>-0.75</v>
      </c>
      <c r="D4" s="0" t="n">
        <v>134</v>
      </c>
      <c r="E4" s="0" t="n">
        <f aca="false">SUM(D4,-1*C4)</f>
        <v>134.75</v>
      </c>
      <c r="F4" s="0" t="n">
        <f aca="false">E4/1000</f>
        <v>0.13475</v>
      </c>
      <c r="G4" s="0" t="n">
        <f aca="false">F4*9.81</f>
        <v>1.3218975</v>
      </c>
    </row>
    <row r="5" customFormat="false" ht="12.8" hidden="false" customHeight="false" outlineLevel="0" collapsed="false">
      <c r="A5" s="0" t="n">
        <v>23.73</v>
      </c>
      <c r="B5" s="0" t="n">
        <v>0.2</v>
      </c>
      <c r="C5" s="0" t="n">
        <v>-0.5</v>
      </c>
      <c r="D5" s="0" t="n">
        <v>202</v>
      </c>
      <c r="E5" s="0" t="n">
        <f aca="false">SUM(D5,-1*C5)</f>
        <v>202.5</v>
      </c>
      <c r="F5" s="0" t="n">
        <f aca="false">E5/1000</f>
        <v>0.2025</v>
      </c>
      <c r="G5" s="0" t="n">
        <f aca="false">F5*9.81</f>
        <v>1.986525</v>
      </c>
    </row>
    <row r="6" customFormat="false" ht="12.8" hidden="false" customHeight="false" outlineLevel="0" collapsed="false">
      <c r="A6" s="0" t="n">
        <v>23.73</v>
      </c>
      <c r="B6" s="0" t="n">
        <v>0.25</v>
      </c>
      <c r="C6" s="0" t="n">
        <v>-0.08</v>
      </c>
      <c r="D6" s="0" t="n">
        <v>270</v>
      </c>
      <c r="E6" s="0" t="n">
        <f aca="false">SUM(D6,-1*C6)</f>
        <v>270.08</v>
      </c>
      <c r="F6" s="0" t="n">
        <f aca="false">E6/1000</f>
        <v>0.27008</v>
      </c>
      <c r="G6" s="0" t="n">
        <f aca="false">F6*9.81</f>
        <v>2.6494848</v>
      </c>
    </row>
    <row r="7" customFormat="false" ht="12.8" hidden="false" customHeight="false" outlineLevel="0" collapsed="false">
      <c r="A7" s="0" t="n">
        <v>23.73</v>
      </c>
      <c r="B7" s="0" t="n">
        <v>0.3</v>
      </c>
      <c r="C7" s="0" t="n">
        <v>-0.35</v>
      </c>
      <c r="D7" s="0" t="n">
        <v>352</v>
      </c>
      <c r="E7" s="0" t="n">
        <f aca="false">SUM(D7,-1*C7)</f>
        <v>352.35</v>
      </c>
      <c r="F7" s="0" t="n">
        <f aca="false">E7/1000</f>
        <v>0.35235</v>
      </c>
      <c r="G7" s="0" t="n">
        <f aca="false">F7*9.81</f>
        <v>3.4565535</v>
      </c>
    </row>
    <row r="8" customFormat="false" ht="12.8" hidden="false" customHeight="false" outlineLevel="0" collapsed="false">
      <c r="A8" s="0" t="n">
        <v>23.74</v>
      </c>
      <c r="B8" s="0" t="n">
        <v>0.35</v>
      </c>
      <c r="C8" s="0" t="n">
        <v>-0.29</v>
      </c>
      <c r="D8" s="0" t="n">
        <v>442</v>
      </c>
      <c r="E8" s="0" t="n">
        <f aca="false">SUM(D8,-1*C8)</f>
        <v>442.29</v>
      </c>
      <c r="F8" s="0" t="n">
        <f aca="false">E8/1000</f>
        <v>0.44229</v>
      </c>
      <c r="G8" s="0" t="n">
        <f aca="false">F8*9.81</f>
        <v>4.3388649</v>
      </c>
    </row>
    <row r="9" customFormat="false" ht="12.8" hidden="false" customHeight="false" outlineLevel="0" collapsed="false">
      <c r="A9" s="0" t="n">
        <v>23.77</v>
      </c>
      <c r="B9" s="0" t="n">
        <v>0.4</v>
      </c>
      <c r="C9" s="0" t="n">
        <v>-0.2</v>
      </c>
      <c r="D9" s="0" t="n">
        <v>535</v>
      </c>
      <c r="E9" s="0" t="n">
        <f aca="false">SUM(D9,-1*C9)</f>
        <v>535.2</v>
      </c>
      <c r="F9" s="0" t="n">
        <f aca="false">E9/1000</f>
        <v>0.5352</v>
      </c>
      <c r="G9" s="0" t="n">
        <f aca="false">F9*9.81</f>
        <v>5.250312</v>
      </c>
    </row>
    <row r="10" customFormat="false" ht="12.8" hidden="false" customHeight="false" outlineLevel="0" collapsed="false">
      <c r="A10" s="0" t="n">
        <v>23.81</v>
      </c>
      <c r="B10" s="0" t="n">
        <v>0.45</v>
      </c>
      <c r="C10" s="0" t="n">
        <v>-0.3</v>
      </c>
      <c r="D10" s="0" t="n">
        <v>644</v>
      </c>
      <c r="E10" s="0" t="n">
        <f aca="false">SUM(D10,-1*C10)</f>
        <v>644.3</v>
      </c>
      <c r="F10" s="0" t="n">
        <f aca="false">E10/1000</f>
        <v>0.6443</v>
      </c>
      <c r="G10" s="0" t="n">
        <f aca="false">F10*9.81</f>
        <v>6.320583</v>
      </c>
    </row>
    <row r="11" customFormat="false" ht="12.8" hidden="false" customHeight="false" outlineLevel="0" collapsed="false">
      <c r="A11" s="0" t="n">
        <v>23.86</v>
      </c>
      <c r="B11" s="0" t="n">
        <v>0.5</v>
      </c>
      <c r="C11" s="0" t="n">
        <v>-0.05</v>
      </c>
      <c r="D11" s="0" t="n">
        <v>750</v>
      </c>
      <c r="E11" s="0" t="n">
        <f aca="false">SUM(D11,-1*C11)</f>
        <v>750.05</v>
      </c>
      <c r="F11" s="0" t="n">
        <f aca="false">E11/1000</f>
        <v>0.75005</v>
      </c>
      <c r="G11" s="0" t="n">
        <f aca="false">F11*9.81</f>
        <v>7.3579905</v>
      </c>
    </row>
    <row r="12" customFormat="false" ht="12.8" hidden="false" customHeight="false" outlineLevel="0" collapsed="false">
      <c r="A12" s="0" t="n">
        <v>23.86</v>
      </c>
      <c r="B12" s="0" t="n">
        <v>0.55</v>
      </c>
      <c r="C12" s="0" t="n">
        <v>-0.18</v>
      </c>
      <c r="D12" s="0" t="n">
        <v>852</v>
      </c>
      <c r="E12" s="0" t="n">
        <f aca="false">SUM(D12,-1*C12)</f>
        <v>852.18</v>
      </c>
      <c r="F12" s="0" t="n">
        <f aca="false">E12/1000</f>
        <v>0.85218</v>
      </c>
      <c r="G12" s="0" t="n">
        <f aca="false">F12*9.81</f>
        <v>8.3598858</v>
      </c>
    </row>
    <row r="13" customFormat="false" ht="12.8" hidden="false" customHeight="false" outlineLevel="0" collapsed="false">
      <c r="A13" s="0" t="n">
        <v>23.89</v>
      </c>
      <c r="B13" s="0" t="n">
        <v>0.6</v>
      </c>
      <c r="C13" s="0" t="n">
        <v>-0.2</v>
      </c>
      <c r="D13" s="0" t="n">
        <v>964</v>
      </c>
      <c r="E13" s="0" t="n">
        <f aca="false">SUM(D13,-1*C13)</f>
        <v>964.2</v>
      </c>
      <c r="F13" s="0" t="n">
        <f aca="false">E13/1000</f>
        <v>0.9642</v>
      </c>
      <c r="G13" s="0" t="n">
        <f aca="false">F13*9.81</f>
        <v>9.458802</v>
      </c>
    </row>
    <row r="14" customFormat="false" ht="12.8" hidden="false" customHeight="false" outlineLevel="0" collapsed="false">
      <c r="A14" s="0" t="n">
        <v>24</v>
      </c>
      <c r="B14" s="0" t="n">
        <v>0.65</v>
      </c>
      <c r="C14" s="0" t="n">
        <v>-0.2</v>
      </c>
      <c r="D14" s="0" t="n">
        <v>1085</v>
      </c>
      <c r="E14" s="0" t="n">
        <f aca="false">SUM(D14,-1*C14)</f>
        <v>1085.2</v>
      </c>
      <c r="F14" s="0" t="n">
        <f aca="false">E14/1000</f>
        <v>1.0852</v>
      </c>
      <c r="G14" s="0" t="n">
        <f aca="false">F14*9.81</f>
        <v>10.645812</v>
      </c>
    </row>
    <row r="15" customFormat="false" ht="12.8" hidden="false" customHeight="false" outlineLevel="0" collapsed="false">
      <c r="A15" s="0" t="n">
        <v>24.09</v>
      </c>
      <c r="B15" s="0" t="n">
        <v>0.7</v>
      </c>
      <c r="C15" s="0" t="n">
        <v>-0.24</v>
      </c>
      <c r="D15" s="0" t="n">
        <v>1199</v>
      </c>
      <c r="E15" s="0" t="n">
        <f aca="false">SUM(D15,-1*C15)</f>
        <v>1199.24</v>
      </c>
      <c r="F15" s="0" t="n">
        <f aca="false">E15/1000</f>
        <v>1.19924</v>
      </c>
      <c r="G15" s="0" t="n">
        <f aca="false">F15*9.81</f>
        <v>11.7645444</v>
      </c>
    </row>
    <row r="16" customFormat="false" ht="12.8" hidden="false" customHeight="false" outlineLevel="0" collapsed="false">
      <c r="A16" s="0" t="n">
        <v>24.24</v>
      </c>
      <c r="B16" s="0" t="n">
        <v>0.75</v>
      </c>
      <c r="C16" s="0" t="n">
        <v>0.15</v>
      </c>
      <c r="D16" s="0" t="n">
        <v>1316</v>
      </c>
      <c r="E16" s="0" t="n">
        <f aca="false">SUM(D16,-1*C16)</f>
        <v>1315.85</v>
      </c>
      <c r="F16" s="0" t="n">
        <f aca="false">E16/1000</f>
        <v>1.31585</v>
      </c>
      <c r="G16" s="0" t="n">
        <f aca="false">F16*9.81</f>
        <v>12.9084885</v>
      </c>
    </row>
    <row r="17" customFormat="false" ht="12.8" hidden="false" customHeight="false" outlineLevel="0" collapsed="false">
      <c r="A17" s="0" t="n">
        <v>24.42</v>
      </c>
      <c r="B17" s="0" t="n">
        <v>0.8</v>
      </c>
      <c r="C17" s="0" t="n">
        <v>3.4</v>
      </c>
      <c r="D17" s="0" t="n">
        <v>1418</v>
      </c>
      <c r="E17" s="0" t="n">
        <f aca="false">SUM(D17,-1*C17)</f>
        <v>1414.6</v>
      </c>
      <c r="F17" s="0" t="n">
        <f aca="false">E17/1000</f>
        <v>1.4146</v>
      </c>
      <c r="G17" s="0" t="n">
        <f aca="false">F17*9.81</f>
        <v>13.877226</v>
      </c>
    </row>
    <row r="18" customFormat="false" ht="12.8" hidden="false" customHeight="false" outlineLevel="0" collapsed="false">
      <c r="A18" s="0" t="n">
        <v>24.45</v>
      </c>
      <c r="B18" s="0" t="n">
        <v>0.85</v>
      </c>
      <c r="C18" s="0" t="n">
        <v>-0.2</v>
      </c>
      <c r="D18" s="0" t="n">
        <v>1462</v>
      </c>
      <c r="E18" s="0" t="n">
        <f aca="false">SUM(D18,-1*C18)</f>
        <v>1462.2</v>
      </c>
      <c r="F18" s="0" t="n">
        <f aca="false">E18/1000</f>
        <v>1.4622</v>
      </c>
      <c r="G18" s="0" t="n">
        <f aca="false">F18*9.81</f>
        <v>14.344182</v>
      </c>
    </row>
    <row r="19" customFormat="false" ht="12.8" hidden="false" customHeight="false" outlineLevel="0" collapsed="false">
      <c r="A19" s="0" t="n">
        <v>24.69</v>
      </c>
      <c r="B19" s="0" t="n">
        <v>0.9</v>
      </c>
      <c r="C19" s="0" t="n">
        <v>-0.35</v>
      </c>
      <c r="D19" s="0" t="n">
        <v>1671</v>
      </c>
      <c r="E19" s="0" t="n">
        <f aca="false">SUM(D19,-1*C19)</f>
        <v>1671.35</v>
      </c>
      <c r="F19" s="0" t="n">
        <f aca="false">E19/1000</f>
        <v>1.67135</v>
      </c>
      <c r="G19" s="0" t="n">
        <f aca="false">F19*9.81</f>
        <v>16.3959435</v>
      </c>
    </row>
    <row r="20" customFormat="false" ht="12.8" hidden="false" customHeight="false" outlineLevel="0" collapsed="false">
      <c r="A20" s="0" t="n">
        <v>24.8</v>
      </c>
      <c r="B20" s="0" t="n">
        <v>0.95</v>
      </c>
      <c r="C20" s="0" t="n">
        <v>-0.72</v>
      </c>
      <c r="D20" s="0" t="n">
        <v>1790</v>
      </c>
      <c r="E20" s="0" t="n">
        <f aca="false">SUM(D20,-1*C20)</f>
        <v>1790.72</v>
      </c>
      <c r="F20" s="0" t="n">
        <f aca="false">E20/1000</f>
        <v>1.79072</v>
      </c>
      <c r="G20" s="0" t="n">
        <f aca="false">F20*9.81</f>
        <v>17.5669632</v>
      </c>
    </row>
    <row r="21" customFormat="false" ht="12.8" hidden="false" customHeight="false" outlineLevel="0" collapsed="false">
      <c r="A21" s="0" t="n">
        <v>24.82</v>
      </c>
      <c r="B21" s="0" t="n">
        <v>1</v>
      </c>
      <c r="C21" s="0" t="n">
        <v>0.07</v>
      </c>
      <c r="D21" s="0" t="n">
        <v>1928</v>
      </c>
      <c r="E21" s="0" t="n">
        <f aca="false">SUM(D21,-1*C21)</f>
        <v>1927.93</v>
      </c>
      <c r="F21" s="0" t="n">
        <f aca="false">E21/1000</f>
        <v>1.92793</v>
      </c>
      <c r="G21" s="0" t="n">
        <f aca="false">F21*9.81</f>
        <v>18.9129933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24.45"/>
    <col collapsed="false" customWidth="true" hidden="false" outlineLevel="0" max="3" min="3" style="0" width="25.14"/>
    <col collapsed="false" customWidth="true" hidden="false" outlineLevel="0" max="4" min="4" style="0" width="24.73"/>
    <col collapsed="false" customWidth="true" hidden="false" outlineLevel="0" max="5" min="5" style="0" width="21.67"/>
    <col collapsed="false" customWidth="true" hidden="false" outlineLevel="0" max="6" min="6" style="0" width="19.45"/>
    <col collapsed="false" customWidth="true" hidden="false" outlineLevel="0" max="7" min="7" style="0" width="20.01"/>
  </cols>
  <sheetData>
    <row r="1" customFormat="false" ht="71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24.93</v>
      </c>
      <c r="B2" s="0" t="n">
        <v>0.05</v>
      </c>
      <c r="C2" s="0" t="n">
        <v>-1.26</v>
      </c>
      <c r="D2" s="0" t="n">
        <v>47.5</v>
      </c>
      <c r="E2" s="0" t="n">
        <f aca="false">SUM(D2,-1*C2)</f>
        <v>48.76</v>
      </c>
      <c r="F2" s="0" t="n">
        <f aca="false">E2/1000</f>
        <v>0.04876</v>
      </c>
      <c r="G2" s="0" t="n">
        <f aca="false">F2*9.81</f>
        <v>0.4783356</v>
      </c>
    </row>
    <row r="3" customFormat="false" ht="12.8" hidden="false" customHeight="false" outlineLevel="0" collapsed="false">
      <c r="A3" s="0" t="n">
        <v>24.85</v>
      </c>
      <c r="B3" s="0" t="n">
        <v>0.1</v>
      </c>
      <c r="C3" s="0" t="n">
        <v>0.72</v>
      </c>
      <c r="D3" s="0" t="n">
        <v>97.5</v>
      </c>
      <c r="E3" s="0" t="n">
        <f aca="false">SUM(D3,-1*C3)</f>
        <v>96.78</v>
      </c>
      <c r="F3" s="0" t="n">
        <f aca="false">E3/1000</f>
        <v>0.09678</v>
      </c>
      <c r="G3" s="0" t="n">
        <f aca="false">F3*9.81</f>
        <v>0.9494118</v>
      </c>
    </row>
    <row r="4" customFormat="false" ht="12.8" hidden="false" customHeight="false" outlineLevel="0" collapsed="false">
      <c r="A4" s="0" t="n">
        <v>24.74</v>
      </c>
      <c r="B4" s="0" t="n">
        <v>0.15</v>
      </c>
      <c r="C4" s="0" t="n">
        <v>0.77</v>
      </c>
      <c r="D4" s="0" t="n">
        <v>152.95</v>
      </c>
      <c r="E4" s="0" t="n">
        <f aca="false">SUM(D4,-1*C4)</f>
        <v>152.18</v>
      </c>
      <c r="F4" s="0" t="n">
        <f aca="false">E4/1000</f>
        <v>0.15218</v>
      </c>
      <c r="G4" s="0" t="n">
        <f aca="false">F4*9.81</f>
        <v>1.4928858</v>
      </c>
    </row>
    <row r="5" customFormat="false" ht="12.8" hidden="false" customHeight="false" outlineLevel="0" collapsed="false">
      <c r="A5" s="0" t="n">
        <v>24.82</v>
      </c>
      <c r="B5" s="0" t="n">
        <v>0.2</v>
      </c>
      <c r="C5" s="0" t="n">
        <v>0.7</v>
      </c>
      <c r="D5" s="0" t="n">
        <v>245.32</v>
      </c>
      <c r="E5" s="0" t="n">
        <f aca="false">SUM(D5,-1*C5)</f>
        <v>244.62</v>
      </c>
      <c r="F5" s="0" t="n">
        <f aca="false">E5/1000</f>
        <v>0.24462</v>
      </c>
      <c r="G5" s="0" t="n">
        <f aca="false">F5*9.81</f>
        <v>2.3997222</v>
      </c>
    </row>
    <row r="6" customFormat="false" ht="12.8" hidden="false" customHeight="false" outlineLevel="0" collapsed="false">
      <c r="A6" s="0" t="n">
        <v>24.79</v>
      </c>
      <c r="B6" s="0" t="n">
        <v>0.25</v>
      </c>
      <c r="C6" s="0" t="n">
        <v>2.15</v>
      </c>
      <c r="D6" s="0" t="n">
        <v>302.54</v>
      </c>
      <c r="E6" s="0" t="n">
        <f aca="false">SUM(D6,-1*C6)</f>
        <v>300.39</v>
      </c>
      <c r="F6" s="0" t="n">
        <f aca="false">E6/1000</f>
        <v>0.30039</v>
      </c>
      <c r="G6" s="0" t="n">
        <f aca="false">F6*9.81</f>
        <v>2.9468259</v>
      </c>
    </row>
    <row r="7" customFormat="false" ht="12.8" hidden="false" customHeight="false" outlineLevel="0" collapsed="false">
      <c r="A7" s="0" t="n">
        <v>24.74</v>
      </c>
      <c r="B7" s="0" t="n">
        <v>0.3</v>
      </c>
      <c r="C7" s="0" t="n">
        <v>-0.7</v>
      </c>
      <c r="D7" s="0" t="n">
        <v>381.24</v>
      </c>
      <c r="E7" s="0" t="n">
        <f aca="false">SUM(D7,-1*C7)</f>
        <v>381.94</v>
      </c>
      <c r="F7" s="0" t="n">
        <f aca="false">E7/1000</f>
        <v>0.38194</v>
      </c>
      <c r="G7" s="0" t="n">
        <f aca="false">F7*9.81</f>
        <v>3.7468314</v>
      </c>
    </row>
    <row r="8" customFormat="false" ht="12.8" hidden="false" customHeight="false" outlineLevel="0" collapsed="false">
      <c r="A8" s="0" t="n">
        <v>24.63</v>
      </c>
      <c r="B8" s="0" t="n">
        <v>0.35</v>
      </c>
      <c r="C8" s="0" t="n">
        <v>0</v>
      </c>
      <c r="D8" s="0" t="n">
        <v>471.2</v>
      </c>
      <c r="E8" s="0" t="n">
        <f aca="false">SUM(D8,-1*C8)</f>
        <v>471.2</v>
      </c>
      <c r="F8" s="0" t="n">
        <f aca="false">E8/1000</f>
        <v>0.4712</v>
      </c>
      <c r="G8" s="0" t="n">
        <f aca="false">F8*9.81</f>
        <v>4.622472</v>
      </c>
    </row>
    <row r="9" customFormat="false" ht="12.8" hidden="false" customHeight="false" outlineLevel="0" collapsed="false">
      <c r="A9" s="0" t="n">
        <v>24.54</v>
      </c>
      <c r="B9" s="0" t="n">
        <v>0.4</v>
      </c>
      <c r="C9" s="0" t="n">
        <v>-0.02</v>
      </c>
      <c r="D9" s="0" t="n">
        <v>563.02</v>
      </c>
      <c r="E9" s="0" t="n">
        <f aca="false">SUM(D9,-1*C9)</f>
        <v>563.04</v>
      </c>
      <c r="F9" s="0" t="n">
        <f aca="false">E9/1000</f>
        <v>0.56304</v>
      </c>
      <c r="G9" s="0" t="n">
        <f aca="false">F9*9.81</f>
        <v>5.5234224</v>
      </c>
    </row>
    <row r="10" customFormat="false" ht="12.8" hidden="false" customHeight="false" outlineLevel="0" collapsed="false">
      <c r="A10" s="0" t="n">
        <v>24.5</v>
      </c>
      <c r="B10" s="0" t="n">
        <v>0.45</v>
      </c>
      <c r="C10" s="0" t="n">
        <v>-0.05</v>
      </c>
      <c r="D10" s="0" t="n">
        <v>672</v>
      </c>
      <c r="E10" s="0" t="n">
        <f aca="false">SUM(D10,-1*C10)</f>
        <v>672.05</v>
      </c>
      <c r="F10" s="0" t="n">
        <f aca="false">E10/1000</f>
        <v>0.67205</v>
      </c>
      <c r="G10" s="0" t="n">
        <f aca="false">F10*9.81</f>
        <v>6.5928105</v>
      </c>
    </row>
    <row r="11" customFormat="false" ht="12.8" hidden="false" customHeight="false" outlineLevel="0" collapsed="false">
      <c r="A11" s="0" t="n">
        <v>24.45</v>
      </c>
      <c r="B11" s="0" t="n">
        <v>0.5</v>
      </c>
      <c r="C11" s="0" t="n">
        <v>-0.18</v>
      </c>
      <c r="D11" s="0" t="n">
        <v>778</v>
      </c>
      <c r="E11" s="0" t="n">
        <f aca="false">SUM(D11,-1*C11)</f>
        <v>778.18</v>
      </c>
      <c r="F11" s="0" t="n">
        <f aca="false">E11/1000</f>
        <v>0.77818</v>
      </c>
      <c r="G11" s="0" t="n">
        <f aca="false">F11*9.81</f>
        <v>7.6339458</v>
      </c>
    </row>
    <row r="12" customFormat="false" ht="12.8" hidden="false" customHeight="false" outlineLevel="0" collapsed="false">
      <c r="A12" s="0" t="n">
        <v>24.41</v>
      </c>
      <c r="B12" s="0" t="n">
        <v>0.55</v>
      </c>
      <c r="C12" s="0" t="n">
        <v>0.05</v>
      </c>
      <c r="D12" s="0" t="n">
        <v>876</v>
      </c>
      <c r="E12" s="0" t="n">
        <f aca="false">SUM(D12,-1*C12)</f>
        <v>875.95</v>
      </c>
      <c r="F12" s="0" t="n">
        <f aca="false">E12/1000</f>
        <v>0.87595</v>
      </c>
      <c r="G12" s="0" t="n">
        <f aca="false">F12*9.81</f>
        <v>8.5930695</v>
      </c>
    </row>
    <row r="13" customFormat="false" ht="12.8" hidden="false" customHeight="false" outlineLevel="0" collapsed="false">
      <c r="A13" s="0" t="n">
        <v>24.38</v>
      </c>
      <c r="B13" s="0" t="n">
        <v>0.6</v>
      </c>
      <c r="C13" s="0" t="n">
        <v>-1.83</v>
      </c>
      <c r="D13" s="0" t="n">
        <v>981</v>
      </c>
      <c r="E13" s="0" t="n">
        <f aca="false">SUM(D13,-1*C13)</f>
        <v>982.83</v>
      </c>
      <c r="F13" s="0" t="n">
        <f aca="false">E13/1000</f>
        <v>0.98283</v>
      </c>
      <c r="G13" s="0" t="n">
        <f aca="false">F13*9.81</f>
        <v>9.6415623</v>
      </c>
    </row>
    <row r="14" customFormat="false" ht="12.8" hidden="false" customHeight="false" outlineLevel="0" collapsed="false">
      <c r="A14" s="0" t="n">
        <v>24.36</v>
      </c>
      <c r="B14" s="0" t="n">
        <v>0.65</v>
      </c>
      <c r="C14" s="0" t="n">
        <v>0.16</v>
      </c>
      <c r="D14" s="0" t="n">
        <v>1080.34</v>
      </c>
      <c r="E14" s="0" t="n">
        <f aca="false">SUM(D14,-1*C14)</f>
        <v>1080.18</v>
      </c>
      <c r="F14" s="0" t="n">
        <f aca="false">E14/1000</f>
        <v>1.08018</v>
      </c>
      <c r="G14" s="0" t="n">
        <f aca="false">F14*9.81</f>
        <v>10.5965658</v>
      </c>
    </row>
    <row r="15" customFormat="false" ht="12.8" hidden="false" customHeight="false" outlineLevel="0" collapsed="false">
      <c r="A15" s="0" t="n">
        <v>24.36</v>
      </c>
      <c r="B15" s="0" t="n">
        <v>0.7</v>
      </c>
      <c r="C15" s="0" t="n">
        <v>-0.64</v>
      </c>
      <c r="D15" s="0" t="n">
        <v>1200.36</v>
      </c>
      <c r="E15" s="0" t="n">
        <f aca="false">SUM(D15,-1*C15)</f>
        <v>1201</v>
      </c>
      <c r="F15" s="0" t="n">
        <f aca="false">E15/1000</f>
        <v>1.201</v>
      </c>
      <c r="G15" s="0" t="n">
        <f aca="false">F15*9.81</f>
        <v>11.78181</v>
      </c>
    </row>
    <row r="16" customFormat="false" ht="12.8" hidden="false" customHeight="false" outlineLevel="0" collapsed="false">
      <c r="A16" s="0" t="n">
        <v>24.23</v>
      </c>
      <c r="B16" s="0" t="n">
        <v>0.75</v>
      </c>
      <c r="C16" s="0" t="n">
        <v>0.13</v>
      </c>
      <c r="D16" s="0" t="n">
        <v>1294</v>
      </c>
      <c r="E16" s="0" t="n">
        <f aca="false">SUM(D16,-1*C16)</f>
        <v>1293.87</v>
      </c>
      <c r="F16" s="0" t="n">
        <f aca="false">E16/1000</f>
        <v>1.29387</v>
      </c>
      <c r="G16" s="0" t="n">
        <f aca="false">F16*9.81</f>
        <v>12.6928647</v>
      </c>
    </row>
    <row r="17" customFormat="false" ht="12.8" hidden="false" customHeight="false" outlineLevel="0" collapsed="false">
      <c r="A17" s="0" t="n">
        <v>24.05</v>
      </c>
      <c r="B17" s="0" t="n">
        <v>0.8</v>
      </c>
      <c r="C17" s="0" t="n">
        <v>0.42</v>
      </c>
      <c r="D17" s="0" t="n">
        <v>1385</v>
      </c>
      <c r="E17" s="0" t="n">
        <f aca="false">SUM(D17,-1*C17)</f>
        <v>1384.58</v>
      </c>
      <c r="F17" s="0" t="n">
        <f aca="false">E17/1000</f>
        <v>1.38458</v>
      </c>
      <c r="G17" s="0" t="n">
        <f aca="false">F17*9.81</f>
        <v>13.5827298</v>
      </c>
    </row>
    <row r="18" customFormat="false" ht="12.8" hidden="false" customHeight="false" outlineLevel="0" collapsed="false">
      <c r="A18" s="0" t="n">
        <v>23.87</v>
      </c>
      <c r="B18" s="0" t="n">
        <v>0.85</v>
      </c>
      <c r="C18" s="0" t="n">
        <v>0.11</v>
      </c>
      <c r="D18" s="0" t="n">
        <v>1465</v>
      </c>
      <c r="E18" s="0" t="n">
        <f aca="false">SUM(D18,-1*C18)</f>
        <v>1464.89</v>
      </c>
      <c r="F18" s="0" t="n">
        <f aca="false">E18/1000</f>
        <v>1.46489</v>
      </c>
      <c r="G18" s="0" t="n">
        <f aca="false">F18*9.81</f>
        <v>14.3705709</v>
      </c>
    </row>
    <row r="19" customFormat="false" ht="12.8" hidden="false" customHeight="false" outlineLevel="0" collapsed="false">
      <c r="A19" s="0" t="n">
        <v>23.85</v>
      </c>
      <c r="B19" s="0" t="n">
        <v>0.9</v>
      </c>
      <c r="C19" s="0" t="n">
        <v>-0.24</v>
      </c>
      <c r="D19" s="0" t="n">
        <v>1649</v>
      </c>
      <c r="E19" s="0" t="n">
        <f aca="false">SUM(D19,-1*C19)</f>
        <v>1649.24</v>
      </c>
      <c r="F19" s="0" t="n">
        <f aca="false">E19/1000</f>
        <v>1.64924</v>
      </c>
      <c r="G19" s="0" t="n">
        <f aca="false">F19*9.81</f>
        <v>16.1790444</v>
      </c>
    </row>
    <row r="20" customFormat="false" ht="12.8" hidden="false" customHeight="false" outlineLevel="0" collapsed="false">
      <c r="A20" s="0" t="n">
        <v>23.79</v>
      </c>
      <c r="B20" s="0" t="n">
        <v>0.95</v>
      </c>
      <c r="C20" s="0" t="n">
        <v>-0.07</v>
      </c>
      <c r="D20" s="0" t="n">
        <v>1745</v>
      </c>
      <c r="E20" s="0" t="n">
        <f aca="false">SUM(D20,-1*C20)</f>
        <v>1745.07</v>
      </c>
      <c r="F20" s="0" t="n">
        <f aca="false">E20/1000</f>
        <v>1.74507</v>
      </c>
      <c r="G20" s="0" t="n">
        <f aca="false">F20*9.81</f>
        <v>17.1191367</v>
      </c>
    </row>
    <row r="21" customFormat="false" ht="12.8" hidden="false" customHeight="false" outlineLevel="0" collapsed="false">
      <c r="A21" s="0" t="n">
        <v>23.76</v>
      </c>
      <c r="B21" s="0" t="n">
        <v>1</v>
      </c>
      <c r="C21" s="0" t="n">
        <v>-0.34</v>
      </c>
      <c r="D21" s="0" t="n">
        <v>1806</v>
      </c>
      <c r="E21" s="0" t="n">
        <f aca="false">SUM(D21,-1*C21)</f>
        <v>1806.34</v>
      </c>
      <c r="F21" s="0" t="n">
        <f aca="false">E21/1000</f>
        <v>1.80634</v>
      </c>
      <c r="G21" s="0" t="n">
        <f aca="false">F21*9.81</f>
        <v>17.7201954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2024-05-09T13:02:34Z</dcterms:created>
  <dc:creator/>
  <dc:description/>
  <dc:language>en-US</dc:language>
  <cp:lastModifiedBy/>
  <dcterms:modified xsi:type="dcterms:W3CDTF">2024-05-13T18:43:08Z</dcterms:modified>
  <cp:revision>18</cp:revision>
  <dc:subject/>
  <dc:title/>
</cp:coreProperties>
</file>