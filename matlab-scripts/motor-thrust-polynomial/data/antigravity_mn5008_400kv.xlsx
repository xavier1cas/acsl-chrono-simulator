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\Downloads\acsl-physics-sim\matlab-scripts\motor-thrust-polynomial\data\"/>
    </mc:Choice>
  </mc:AlternateContent>
  <xr:revisionPtr revIDLastSave="0" documentId="13_ncr:1_{B86BA8B0-708F-48EC-980F-A2EE5238B016}" xr6:coauthVersionLast="47" xr6:coauthVersionMax="47" xr10:uidLastSave="{00000000-0000-0000-0000-000000000000}"/>
  <bookViews>
    <workbookView xWindow="-28920" yWindow="-120" windowWidth="29040" windowHeight="15720" tabRatio="500" activeTab="3" xr2:uid="{00000000-000D-0000-FFFF-FFFF00000000}"/>
  </bookViews>
  <sheets>
    <sheet name="Run 1" sheetId="1" r:id="rId1"/>
    <sheet name="Run 2" sheetId="2" r:id="rId2"/>
    <sheet name="Run 3" sheetId="3" r:id="rId3"/>
    <sheet name="Run 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21" i="4" l="1"/>
  <c r="F21" i="4" s="1"/>
  <c r="G21" i="4" s="1"/>
  <c r="E20" i="4"/>
  <c r="F20" i="4" s="1"/>
  <c r="G20" i="4" s="1"/>
  <c r="E19" i="4"/>
  <c r="F19" i="4" s="1"/>
  <c r="G19" i="4" s="1"/>
  <c r="E18" i="4"/>
  <c r="F18" i="4" s="1"/>
  <c r="G18" i="4" s="1"/>
  <c r="E17" i="4"/>
  <c r="F17" i="4" s="1"/>
  <c r="G17" i="4" s="1"/>
  <c r="E16" i="4"/>
  <c r="F16" i="4" s="1"/>
  <c r="G16" i="4" s="1"/>
  <c r="E15" i="4"/>
  <c r="F15" i="4" s="1"/>
  <c r="G15" i="4" s="1"/>
  <c r="E14" i="4"/>
  <c r="F14" i="4" s="1"/>
  <c r="G14" i="4" s="1"/>
  <c r="E13" i="4"/>
  <c r="F13" i="4" s="1"/>
  <c r="G13" i="4" s="1"/>
  <c r="E12" i="4"/>
  <c r="F12" i="4" s="1"/>
  <c r="G12" i="4" s="1"/>
  <c r="E11" i="4"/>
  <c r="F11" i="4" s="1"/>
  <c r="G11" i="4" s="1"/>
  <c r="E10" i="4"/>
  <c r="F10" i="4" s="1"/>
  <c r="G10" i="4" s="1"/>
  <c r="E9" i="4"/>
  <c r="F9" i="4" s="1"/>
  <c r="G9" i="4" s="1"/>
  <c r="E8" i="4"/>
  <c r="F8" i="4" s="1"/>
  <c r="G8" i="4" s="1"/>
  <c r="E7" i="4"/>
  <c r="F7" i="4" s="1"/>
  <c r="G7" i="4" s="1"/>
  <c r="E6" i="4"/>
  <c r="F6" i="4" s="1"/>
  <c r="G6" i="4" s="1"/>
  <c r="E5" i="4"/>
  <c r="F5" i="4" s="1"/>
  <c r="G5" i="4" s="1"/>
  <c r="E4" i="4"/>
  <c r="F4" i="4" s="1"/>
  <c r="G4" i="4" s="1"/>
  <c r="E3" i="4"/>
  <c r="F3" i="4" s="1"/>
  <c r="G3" i="4" s="1"/>
  <c r="E2" i="4"/>
  <c r="F2" i="4" s="1"/>
  <c r="G2" i="4" s="1"/>
  <c r="E21" i="3"/>
  <c r="F21" i="3" s="1"/>
  <c r="G21" i="3" s="1"/>
  <c r="E20" i="3"/>
  <c r="F20" i="3" s="1"/>
  <c r="G20" i="3" s="1"/>
  <c r="E19" i="3"/>
  <c r="F19" i="3" s="1"/>
  <c r="G19" i="3" s="1"/>
  <c r="E18" i="3"/>
  <c r="F18" i="3" s="1"/>
  <c r="G18" i="3" s="1"/>
  <c r="E17" i="3"/>
  <c r="F17" i="3" s="1"/>
  <c r="G17" i="3" s="1"/>
  <c r="E16" i="3"/>
  <c r="F16" i="3" s="1"/>
  <c r="G16" i="3" s="1"/>
  <c r="E15" i="3"/>
  <c r="F15" i="3" s="1"/>
  <c r="G15" i="3" s="1"/>
  <c r="E14" i="3"/>
  <c r="F14" i="3" s="1"/>
  <c r="G14" i="3" s="1"/>
  <c r="E13" i="3"/>
  <c r="F13" i="3" s="1"/>
  <c r="G13" i="3" s="1"/>
  <c r="E12" i="3"/>
  <c r="F12" i="3" s="1"/>
  <c r="G12" i="3" s="1"/>
  <c r="E11" i="3"/>
  <c r="F11" i="3" s="1"/>
  <c r="G11" i="3" s="1"/>
  <c r="E10" i="3"/>
  <c r="F10" i="3" s="1"/>
  <c r="G10" i="3" s="1"/>
  <c r="E9" i="3"/>
  <c r="F9" i="3" s="1"/>
  <c r="G9" i="3" s="1"/>
  <c r="E8" i="3"/>
  <c r="F8" i="3" s="1"/>
  <c r="G8" i="3" s="1"/>
  <c r="E7" i="3"/>
  <c r="F7" i="3" s="1"/>
  <c r="G7" i="3" s="1"/>
  <c r="E6" i="3"/>
  <c r="F6" i="3" s="1"/>
  <c r="G6" i="3" s="1"/>
  <c r="E5" i="3"/>
  <c r="F5" i="3" s="1"/>
  <c r="G5" i="3" s="1"/>
  <c r="E4" i="3"/>
  <c r="F4" i="3" s="1"/>
  <c r="G4" i="3" s="1"/>
  <c r="E3" i="3"/>
  <c r="F3" i="3" s="1"/>
  <c r="G3" i="3" s="1"/>
  <c r="E2" i="3"/>
  <c r="F2" i="3" s="1"/>
  <c r="G2" i="3" s="1"/>
  <c r="E21" i="2"/>
  <c r="F21" i="2" s="1"/>
  <c r="G21" i="2" s="1"/>
  <c r="E20" i="2"/>
  <c r="F20" i="2" s="1"/>
  <c r="G20" i="2" s="1"/>
  <c r="E19" i="2"/>
  <c r="F19" i="2" s="1"/>
  <c r="G19" i="2" s="1"/>
  <c r="E18" i="2"/>
  <c r="F18" i="2" s="1"/>
  <c r="G18" i="2" s="1"/>
  <c r="E17" i="2"/>
  <c r="F17" i="2" s="1"/>
  <c r="G17" i="2" s="1"/>
  <c r="E16" i="2"/>
  <c r="F16" i="2" s="1"/>
  <c r="G16" i="2" s="1"/>
  <c r="E15" i="2"/>
  <c r="F15" i="2" s="1"/>
  <c r="G15" i="2" s="1"/>
  <c r="E14" i="2"/>
  <c r="F14" i="2" s="1"/>
  <c r="G14" i="2" s="1"/>
  <c r="E13" i="2"/>
  <c r="F13" i="2" s="1"/>
  <c r="G13" i="2" s="1"/>
  <c r="E12" i="2"/>
  <c r="F12" i="2" s="1"/>
  <c r="G12" i="2" s="1"/>
  <c r="E11" i="2"/>
  <c r="F11" i="2" s="1"/>
  <c r="G11" i="2" s="1"/>
  <c r="E10" i="2"/>
  <c r="F10" i="2" s="1"/>
  <c r="G10" i="2" s="1"/>
  <c r="E9" i="2"/>
  <c r="F9" i="2" s="1"/>
  <c r="G9" i="2" s="1"/>
  <c r="E8" i="2"/>
  <c r="F8" i="2" s="1"/>
  <c r="G8" i="2" s="1"/>
  <c r="E7" i="2"/>
  <c r="F7" i="2" s="1"/>
  <c r="G7" i="2" s="1"/>
  <c r="E6" i="2"/>
  <c r="F6" i="2" s="1"/>
  <c r="G6" i="2" s="1"/>
  <c r="E5" i="2"/>
  <c r="F5" i="2" s="1"/>
  <c r="G5" i="2" s="1"/>
  <c r="E4" i="2"/>
  <c r="F4" i="2" s="1"/>
  <c r="G4" i="2" s="1"/>
  <c r="E3" i="2"/>
  <c r="F3" i="2" s="1"/>
  <c r="G3" i="2" s="1"/>
  <c r="E2" i="2"/>
  <c r="F2" i="2" s="1"/>
  <c r="G2" i="2" s="1"/>
  <c r="E21" i="1"/>
  <c r="F21" i="1" s="1"/>
  <c r="G21" i="1" s="1"/>
  <c r="E20" i="1"/>
  <c r="F20" i="1" s="1"/>
  <c r="G20" i="1" s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E15" i="1"/>
  <c r="F15" i="1" s="1"/>
  <c r="G15" i="1" s="1"/>
  <c r="E14" i="1"/>
  <c r="F14" i="1" s="1"/>
  <c r="G14" i="1" s="1"/>
  <c r="E13" i="1"/>
  <c r="F13" i="1" s="1"/>
  <c r="G13" i="1" s="1"/>
  <c r="E12" i="1"/>
  <c r="F12" i="1" s="1"/>
  <c r="G12" i="1" s="1"/>
  <c r="E11" i="1"/>
  <c r="F11" i="1" s="1"/>
  <c r="G11" i="1" s="1"/>
  <c r="E10" i="1"/>
  <c r="F10" i="1" s="1"/>
  <c r="G10" i="1" s="1"/>
  <c r="E9" i="1"/>
  <c r="F9" i="1" s="1"/>
  <c r="G9" i="1" s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E3" i="1"/>
  <c r="F3" i="1" s="1"/>
  <c r="G3" i="1" s="1"/>
  <c r="E2" i="1"/>
  <c r="F2" i="1" s="1"/>
  <c r="G2" i="1" s="1"/>
</calcChain>
</file>

<file path=xl/sharedStrings.xml><?xml version="1.0" encoding="utf-8"?>
<sst xmlns="http://schemas.openxmlformats.org/spreadsheetml/2006/main" count="28" uniqueCount="7">
  <si>
    <t>Battery
Voltage
(V)</t>
  </si>
  <si>
    <t>Control
Input</t>
  </si>
  <si>
    <t>Tare
Value
(g)</t>
  </si>
  <si>
    <t>Steady
Thrust
(g)</t>
  </si>
  <si>
    <t>Corrected
Thrust
(g)</t>
  </si>
  <si>
    <t>Corrected
Thrust
(Kg)</t>
  </si>
  <si>
    <t>Corrected
Thrust
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</si>
</sst>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4"/>
      <name val="Serif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zoomScaleNormal="100" workbookViewId="0">
      <selection activeCell="C21" sqref="C2:C21"/>
    </sheetView>
  </sheetViews>
  <sheetFormatPr defaultColWidth="11.5703125" defaultRowHeight="12.75"/>
  <cols>
    <col min="1" max="1" width="24.140625" customWidth="1"/>
    <col min="2" max="2" width="24.42578125" customWidth="1"/>
    <col min="3" max="3" width="25.140625" customWidth="1"/>
    <col min="4" max="4" width="24.7109375" customWidth="1"/>
    <col min="5" max="5" width="21.7109375" customWidth="1"/>
    <col min="6" max="6" width="19.140625" customWidth="1"/>
    <col min="7" max="7" width="20.42578125" customWidth="1"/>
  </cols>
  <sheetData>
    <row r="1" spans="1:7" ht="71.65000000000000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23.72</v>
      </c>
      <c r="B2">
        <v>0.05</v>
      </c>
      <c r="C2">
        <v>0</v>
      </c>
      <c r="D2">
        <v>70</v>
      </c>
      <c r="E2">
        <f t="shared" ref="E2:E21" si="0">D2-C2</f>
        <v>70</v>
      </c>
      <c r="F2">
        <f t="shared" ref="F2:F21" si="1">E2/1000</f>
        <v>7.0000000000000007E-2</v>
      </c>
      <c r="G2">
        <f t="shared" ref="G2:G21" si="2">F2*9.81</f>
        <v>0.68670000000000009</v>
      </c>
    </row>
    <row r="3" spans="1:7">
      <c r="A3">
        <v>23.72</v>
      </c>
      <c r="B3">
        <v>0.1</v>
      </c>
      <c r="C3">
        <v>0</v>
      </c>
      <c r="D3">
        <v>140</v>
      </c>
      <c r="E3">
        <f t="shared" si="0"/>
        <v>140</v>
      </c>
      <c r="F3">
        <f t="shared" si="1"/>
        <v>0.14000000000000001</v>
      </c>
      <c r="G3">
        <f t="shared" si="2"/>
        <v>1.3734000000000002</v>
      </c>
    </row>
    <row r="4" spans="1:7">
      <c r="A4">
        <v>23.73</v>
      </c>
      <c r="B4">
        <v>0.15</v>
      </c>
      <c r="C4">
        <v>0</v>
      </c>
      <c r="D4">
        <v>200</v>
      </c>
      <c r="E4">
        <f t="shared" si="0"/>
        <v>200</v>
      </c>
      <c r="F4">
        <f t="shared" si="1"/>
        <v>0.2</v>
      </c>
      <c r="G4">
        <f t="shared" si="2"/>
        <v>1.9620000000000002</v>
      </c>
    </row>
    <row r="5" spans="1:7">
      <c r="A5">
        <v>23.73</v>
      </c>
      <c r="B5">
        <v>0.2</v>
      </c>
      <c r="C5">
        <v>0</v>
      </c>
      <c r="D5">
        <v>320</v>
      </c>
      <c r="E5">
        <f t="shared" si="0"/>
        <v>320</v>
      </c>
      <c r="F5">
        <f t="shared" si="1"/>
        <v>0.32</v>
      </c>
      <c r="G5">
        <f t="shared" si="2"/>
        <v>3.1392000000000002</v>
      </c>
    </row>
    <row r="6" spans="1:7">
      <c r="A6">
        <v>23.73</v>
      </c>
      <c r="B6">
        <v>0.25</v>
      </c>
      <c r="C6">
        <v>0</v>
      </c>
      <c r="D6">
        <v>400</v>
      </c>
      <c r="E6">
        <f t="shared" si="0"/>
        <v>400</v>
      </c>
      <c r="F6">
        <f t="shared" si="1"/>
        <v>0.4</v>
      </c>
      <c r="G6">
        <f t="shared" si="2"/>
        <v>3.9240000000000004</v>
      </c>
    </row>
    <row r="7" spans="1:7">
      <c r="A7">
        <v>23.73</v>
      </c>
      <c r="B7">
        <v>0.3</v>
      </c>
      <c r="C7">
        <v>0</v>
      </c>
      <c r="D7">
        <v>530</v>
      </c>
      <c r="E7">
        <f t="shared" si="0"/>
        <v>530</v>
      </c>
      <c r="F7">
        <f t="shared" si="1"/>
        <v>0.53</v>
      </c>
      <c r="G7">
        <f t="shared" si="2"/>
        <v>5.1993000000000009</v>
      </c>
    </row>
    <row r="8" spans="1:7">
      <c r="A8">
        <v>23.74</v>
      </c>
      <c r="B8">
        <v>0.35</v>
      </c>
      <c r="C8">
        <v>0</v>
      </c>
      <c r="D8">
        <v>675</v>
      </c>
      <c r="E8">
        <f t="shared" si="0"/>
        <v>675</v>
      </c>
      <c r="F8">
        <f t="shared" si="1"/>
        <v>0.67500000000000004</v>
      </c>
      <c r="G8">
        <f t="shared" si="2"/>
        <v>6.6217500000000005</v>
      </c>
    </row>
    <row r="9" spans="1:7">
      <c r="A9">
        <v>23.77</v>
      </c>
      <c r="B9">
        <v>0.4</v>
      </c>
      <c r="C9">
        <v>0</v>
      </c>
      <c r="D9">
        <v>803</v>
      </c>
      <c r="E9">
        <f t="shared" si="0"/>
        <v>803</v>
      </c>
      <c r="F9">
        <f t="shared" si="1"/>
        <v>0.80300000000000005</v>
      </c>
      <c r="G9">
        <f t="shared" si="2"/>
        <v>7.8774300000000013</v>
      </c>
    </row>
    <row r="10" spans="1:7">
      <c r="A10">
        <v>23.81</v>
      </c>
      <c r="B10">
        <v>0.45</v>
      </c>
      <c r="C10">
        <v>0</v>
      </c>
      <c r="D10">
        <v>1021</v>
      </c>
      <c r="E10">
        <f t="shared" si="0"/>
        <v>1021</v>
      </c>
      <c r="F10">
        <f t="shared" si="1"/>
        <v>1.0209999999999999</v>
      </c>
      <c r="G10">
        <f t="shared" si="2"/>
        <v>10.01601</v>
      </c>
    </row>
    <row r="11" spans="1:7">
      <c r="A11">
        <v>23.86</v>
      </c>
      <c r="B11">
        <v>0.5</v>
      </c>
      <c r="C11">
        <v>0</v>
      </c>
      <c r="D11">
        <v>1259</v>
      </c>
      <c r="E11">
        <f t="shared" si="0"/>
        <v>1259</v>
      </c>
      <c r="F11">
        <f t="shared" si="1"/>
        <v>1.2589999999999999</v>
      </c>
      <c r="G11">
        <f t="shared" si="2"/>
        <v>12.35079</v>
      </c>
    </row>
    <row r="12" spans="1:7">
      <c r="A12">
        <v>23.86</v>
      </c>
      <c r="B12">
        <v>0.55000000000000004</v>
      </c>
      <c r="C12">
        <v>0</v>
      </c>
      <c r="D12">
        <v>1492</v>
      </c>
      <c r="E12">
        <f t="shared" si="0"/>
        <v>1492</v>
      </c>
      <c r="F12">
        <f t="shared" si="1"/>
        <v>1.492</v>
      </c>
      <c r="G12">
        <f t="shared" si="2"/>
        <v>14.636520000000001</v>
      </c>
    </row>
    <row r="13" spans="1:7">
      <c r="A13">
        <v>23.89</v>
      </c>
      <c r="B13">
        <v>0.6</v>
      </c>
      <c r="C13">
        <v>0</v>
      </c>
      <c r="D13">
        <v>1722</v>
      </c>
      <c r="E13">
        <f t="shared" si="0"/>
        <v>1722</v>
      </c>
      <c r="F13">
        <f t="shared" si="1"/>
        <v>1.722</v>
      </c>
      <c r="G13">
        <f t="shared" si="2"/>
        <v>16.89282</v>
      </c>
    </row>
    <row r="14" spans="1:7">
      <c r="A14">
        <v>24</v>
      </c>
      <c r="B14">
        <v>0.65</v>
      </c>
      <c r="C14">
        <v>0</v>
      </c>
      <c r="D14">
        <v>1956</v>
      </c>
      <c r="E14">
        <f t="shared" si="0"/>
        <v>1956</v>
      </c>
      <c r="F14">
        <f t="shared" si="1"/>
        <v>1.956</v>
      </c>
      <c r="G14">
        <f t="shared" si="2"/>
        <v>19.188359999999999</v>
      </c>
    </row>
    <row r="15" spans="1:7">
      <c r="A15">
        <v>24.09</v>
      </c>
      <c r="B15">
        <v>0.7</v>
      </c>
      <c r="C15">
        <v>0</v>
      </c>
      <c r="D15">
        <v>2185</v>
      </c>
      <c r="E15">
        <f t="shared" si="0"/>
        <v>2185</v>
      </c>
      <c r="F15">
        <f t="shared" si="1"/>
        <v>2.1850000000000001</v>
      </c>
      <c r="G15">
        <f t="shared" si="2"/>
        <v>21.434850000000001</v>
      </c>
    </row>
    <row r="16" spans="1:7">
      <c r="A16">
        <v>24.24</v>
      </c>
      <c r="B16">
        <v>0.75</v>
      </c>
      <c r="C16">
        <v>0</v>
      </c>
      <c r="D16">
        <v>2458</v>
      </c>
      <c r="E16">
        <f t="shared" si="0"/>
        <v>2458</v>
      </c>
      <c r="F16">
        <f t="shared" si="1"/>
        <v>2.4580000000000002</v>
      </c>
      <c r="G16">
        <f t="shared" si="2"/>
        <v>24.112980000000004</v>
      </c>
    </row>
    <row r="17" spans="1:7">
      <c r="A17">
        <v>24.42</v>
      </c>
      <c r="B17">
        <v>0.8</v>
      </c>
      <c r="C17">
        <v>0</v>
      </c>
      <c r="D17">
        <v>2750</v>
      </c>
      <c r="E17">
        <f t="shared" si="0"/>
        <v>2750</v>
      </c>
      <c r="F17">
        <f t="shared" si="1"/>
        <v>2.75</v>
      </c>
      <c r="G17">
        <f t="shared" si="2"/>
        <v>26.977500000000003</v>
      </c>
    </row>
    <row r="18" spans="1:7">
      <c r="A18">
        <v>24.45</v>
      </c>
      <c r="B18">
        <v>0.85</v>
      </c>
      <c r="C18">
        <v>0</v>
      </c>
      <c r="D18">
        <v>3063</v>
      </c>
      <c r="E18">
        <f t="shared" si="0"/>
        <v>3063</v>
      </c>
      <c r="F18">
        <f t="shared" si="1"/>
        <v>3.0630000000000002</v>
      </c>
      <c r="G18">
        <f t="shared" si="2"/>
        <v>30.048030000000004</v>
      </c>
    </row>
    <row r="19" spans="1:7">
      <c r="A19">
        <v>24.69</v>
      </c>
      <c r="B19">
        <v>0.9</v>
      </c>
      <c r="C19">
        <v>0</v>
      </c>
      <c r="D19">
        <v>3323</v>
      </c>
      <c r="E19">
        <f t="shared" si="0"/>
        <v>3323</v>
      </c>
      <c r="F19">
        <f t="shared" si="1"/>
        <v>3.323</v>
      </c>
      <c r="G19">
        <f t="shared" si="2"/>
        <v>32.59863</v>
      </c>
    </row>
    <row r="20" spans="1:7">
      <c r="A20">
        <v>24.8</v>
      </c>
      <c r="B20">
        <v>0.95</v>
      </c>
      <c r="C20">
        <v>0</v>
      </c>
      <c r="D20">
        <v>3488</v>
      </c>
      <c r="E20">
        <f t="shared" si="0"/>
        <v>3488</v>
      </c>
      <c r="F20">
        <f t="shared" si="1"/>
        <v>3.488</v>
      </c>
      <c r="G20">
        <f t="shared" si="2"/>
        <v>34.217280000000002</v>
      </c>
    </row>
    <row r="21" spans="1:7">
      <c r="A21">
        <v>24.82</v>
      </c>
      <c r="B21">
        <v>1</v>
      </c>
      <c r="C21">
        <v>0</v>
      </c>
      <c r="D21">
        <v>3591</v>
      </c>
      <c r="E21">
        <f t="shared" si="0"/>
        <v>3591</v>
      </c>
      <c r="F21">
        <f t="shared" si="1"/>
        <v>3.5910000000000002</v>
      </c>
      <c r="G21">
        <f t="shared" si="2"/>
        <v>35.227710000000002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zoomScaleNormal="100" workbookViewId="0">
      <selection activeCell="C21" sqref="C2:C21"/>
    </sheetView>
  </sheetViews>
  <sheetFormatPr defaultColWidth="11.5703125" defaultRowHeight="12.75"/>
  <cols>
    <col min="1" max="1" width="24.140625" customWidth="1"/>
    <col min="2" max="2" width="24.42578125" customWidth="1"/>
    <col min="3" max="3" width="25.140625" customWidth="1"/>
    <col min="4" max="4" width="24.7109375" customWidth="1"/>
    <col min="5" max="5" width="21.7109375" customWidth="1"/>
    <col min="6" max="6" width="19.42578125" customWidth="1"/>
    <col min="7" max="7" width="16.28515625" customWidth="1"/>
  </cols>
  <sheetData>
    <row r="1" spans="1:7" ht="71.65000000000000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24.76</v>
      </c>
      <c r="B2">
        <v>0.05</v>
      </c>
      <c r="C2">
        <v>0</v>
      </c>
      <c r="D2">
        <v>70</v>
      </c>
      <c r="E2">
        <f t="shared" ref="E2:E21" si="0">D2-C2</f>
        <v>70</v>
      </c>
      <c r="F2">
        <f t="shared" ref="F2:F21" si="1">E2/1000</f>
        <v>7.0000000000000007E-2</v>
      </c>
      <c r="G2">
        <f t="shared" ref="G2:G21" si="2">F2*9.81</f>
        <v>0.68670000000000009</v>
      </c>
    </row>
    <row r="3" spans="1:7">
      <c r="A3">
        <v>24.88</v>
      </c>
      <c r="B3">
        <v>0.1</v>
      </c>
      <c r="C3">
        <v>0</v>
      </c>
      <c r="D3">
        <v>140</v>
      </c>
      <c r="E3">
        <f t="shared" si="0"/>
        <v>140</v>
      </c>
      <c r="F3">
        <f t="shared" si="1"/>
        <v>0.14000000000000001</v>
      </c>
      <c r="G3">
        <f t="shared" si="2"/>
        <v>1.3734000000000002</v>
      </c>
    </row>
    <row r="4" spans="1:7">
      <c r="A4">
        <v>24.66</v>
      </c>
      <c r="B4">
        <v>0.15</v>
      </c>
      <c r="C4">
        <v>0</v>
      </c>
      <c r="D4">
        <v>200</v>
      </c>
      <c r="E4">
        <f t="shared" si="0"/>
        <v>200</v>
      </c>
      <c r="F4">
        <f t="shared" si="1"/>
        <v>0.2</v>
      </c>
      <c r="G4">
        <f t="shared" si="2"/>
        <v>1.9620000000000002</v>
      </c>
    </row>
    <row r="5" spans="1:7">
      <c r="A5">
        <v>24.86</v>
      </c>
      <c r="B5">
        <v>0.2</v>
      </c>
      <c r="C5">
        <v>0</v>
      </c>
      <c r="D5">
        <v>320</v>
      </c>
      <c r="E5">
        <f t="shared" si="0"/>
        <v>320</v>
      </c>
      <c r="F5">
        <f t="shared" si="1"/>
        <v>0.32</v>
      </c>
      <c r="G5">
        <f t="shared" si="2"/>
        <v>3.1392000000000002</v>
      </c>
    </row>
    <row r="6" spans="1:7">
      <c r="A6">
        <v>24.81</v>
      </c>
      <c r="B6">
        <v>0.25</v>
      </c>
      <c r="C6">
        <v>0</v>
      </c>
      <c r="D6">
        <v>400</v>
      </c>
      <c r="E6">
        <f t="shared" si="0"/>
        <v>400</v>
      </c>
      <c r="F6">
        <f t="shared" si="1"/>
        <v>0.4</v>
      </c>
      <c r="G6">
        <f t="shared" si="2"/>
        <v>3.9240000000000004</v>
      </c>
    </row>
    <row r="7" spans="1:7">
      <c r="A7">
        <v>24.8</v>
      </c>
      <c r="B7">
        <v>0.3</v>
      </c>
      <c r="C7">
        <v>0</v>
      </c>
      <c r="D7">
        <v>530</v>
      </c>
      <c r="E7">
        <f t="shared" si="0"/>
        <v>530</v>
      </c>
      <c r="F7">
        <f t="shared" si="1"/>
        <v>0.53</v>
      </c>
      <c r="G7">
        <f t="shared" si="2"/>
        <v>5.1993000000000009</v>
      </c>
    </row>
    <row r="8" spans="1:7">
      <c r="A8">
        <v>24.79</v>
      </c>
      <c r="B8">
        <v>0.35</v>
      </c>
      <c r="C8">
        <v>0</v>
      </c>
      <c r="D8">
        <v>675</v>
      </c>
      <c r="E8">
        <f t="shared" si="0"/>
        <v>675</v>
      </c>
      <c r="F8">
        <f t="shared" si="1"/>
        <v>0.67500000000000004</v>
      </c>
      <c r="G8">
        <f t="shared" si="2"/>
        <v>6.6217500000000005</v>
      </c>
    </row>
    <row r="9" spans="1:7">
      <c r="A9">
        <v>24.76</v>
      </c>
      <c r="B9">
        <v>0.4</v>
      </c>
      <c r="C9">
        <v>0</v>
      </c>
      <c r="D9">
        <v>803</v>
      </c>
      <c r="E9">
        <f t="shared" si="0"/>
        <v>803</v>
      </c>
      <c r="F9">
        <f t="shared" si="1"/>
        <v>0.80300000000000005</v>
      </c>
      <c r="G9">
        <f t="shared" si="2"/>
        <v>7.8774300000000013</v>
      </c>
    </row>
    <row r="10" spans="1:7">
      <c r="A10">
        <v>24.72</v>
      </c>
      <c r="B10">
        <v>0.45</v>
      </c>
      <c r="C10">
        <v>0</v>
      </c>
      <c r="D10">
        <v>1021</v>
      </c>
      <c r="E10">
        <f t="shared" si="0"/>
        <v>1021</v>
      </c>
      <c r="F10">
        <f t="shared" si="1"/>
        <v>1.0209999999999999</v>
      </c>
      <c r="G10">
        <f t="shared" si="2"/>
        <v>10.01601</v>
      </c>
    </row>
    <row r="11" spans="1:7">
      <c r="A11">
        <v>24.68</v>
      </c>
      <c r="B11">
        <v>0.5</v>
      </c>
      <c r="C11">
        <v>0</v>
      </c>
      <c r="D11">
        <v>1259</v>
      </c>
      <c r="E11">
        <f t="shared" si="0"/>
        <v>1259</v>
      </c>
      <c r="F11">
        <f t="shared" si="1"/>
        <v>1.2589999999999999</v>
      </c>
      <c r="G11">
        <f t="shared" si="2"/>
        <v>12.35079</v>
      </c>
    </row>
    <row r="12" spans="1:7">
      <c r="A12">
        <v>24.52</v>
      </c>
      <c r="B12">
        <v>0.55000000000000004</v>
      </c>
      <c r="C12">
        <v>0</v>
      </c>
      <c r="D12">
        <v>1492</v>
      </c>
      <c r="E12">
        <f t="shared" si="0"/>
        <v>1492</v>
      </c>
      <c r="F12">
        <f t="shared" si="1"/>
        <v>1.492</v>
      </c>
      <c r="G12">
        <f t="shared" si="2"/>
        <v>14.636520000000001</v>
      </c>
    </row>
    <row r="13" spans="1:7">
      <c r="A13">
        <v>24.5</v>
      </c>
      <c r="B13">
        <v>0.6</v>
      </c>
      <c r="C13">
        <v>0</v>
      </c>
      <c r="D13">
        <v>1722</v>
      </c>
      <c r="E13">
        <f t="shared" si="0"/>
        <v>1722</v>
      </c>
      <c r="F13">
        <f t="shared" si="1"/>
        <v>1.722</v>
      </c>
      <c r="G13">
        <f t="shared" si="2"/>
        <v>16.89282</v>
      </c>
    </row>
    <row r="14" spans="1:7">
      <c r="A14">
        <v>24.47</v>
      </c>
      <c r="B14">
        <v>0.65</v>
      </c>
      <c r="C14">
        <v>0</v>
      </c>
      <c r="D14">
        <v>1956</v>
      </c>
      <c r="E14">
        <f t="shared" si="0"/>
        <v>1956</v>
      </c>
      <c r="F14">
        <f t="shared" si="1"/>
        <v>1.956</v>
      </c>
      <c r="G14">
        <f t="shared" si="2"/>
        <v>19.188359999999999</v>
      </c>
    </row>
    <row r="15" spans="1:7">
      <c r="A15">
        <v>23.85</v>
      </c>
      <c r="B15">
        <v>0.7</v>
      </c>
      <c r="C15">
        <v>0</v>
      </c>
      <c r="D15">
        <v>2185</v>
      </c>
      <c r="E15">
        <f t="shared" si="0"/>
        <v>2185</v>
      </c>
      <c r="F15">
        <f t="shared" si="1"/>
        <v>2.1850000000000001</v>
      </c>
      <c r="G15">
        <f t="shared" si="2"/>
        <v>21.434850000000001</v>
      </c>
    </row>
    <row r="16" spans="1:7">
      <c r="A16">
        <v>24.24</v>
      </c>
      <c r="B16">
        <v>0.75</v>
      </c>
      <c r="C16">
        <v>0</v>
      </c>
      <c r="D16">
        <v>2458</v>
      </c>
      <c r="E16">
        <f t="shared" si="0"/>
        <v>2458</v>
      </c>
      <c r="F16">
        <f t="shared" si="1"/>
        <v>2.4580000000000002</v>
      </c>
      <c r="G16">
        <f t="shared" si="2"/>
        <v>24.112980000000004</v>
      </c>
    </row>
    <row r="17" spans="1:7">
      <c r="A17">
        <v>24.01</v>
      </c>
      <c r="B17">
        <v>0.8</v>
      </c>
      <c r="C17">
        <v>0</v>
      </c>
      <c r="D17">
        <v>2750</v>
      </c>
      <c r="E17">
        <f t="shared" si="0"/>
        <v>2750</v>
      </c>
      <c r="F17">
        <f t="shared" si="1"/>
        <v>2.75</v>
      </c>
      <c r="G17">
        <f t="shared" si="2"/>
        <v>26.977500000000003</v>
      </c>
    </row>
    <row r="18" spans="1:7">
      <c r="A18">
        <v>23.81</v>
      </c>
      <c r="B18">
        <v>0.85</v>
      </c>
      <c r="C18">
        <v>0</v>
      </c>
      <c r="D18">
        <v>3063</v>
      </c>
      <c r="E18">
        <f t="shared" si="0"/>
        <v>3063</v>
      </c>
      <c r="F18">
        <f t="shared" si="1"/>
        <v>3.0630000000000002</v>
      </c>
      <c r="G18">
        <f t="shared" si="2"/>
        <v>30.048030000000004</v>
      </c>
    </row>
    <row r="19" spans="1:7">
      <c r="A19">
        <v>23.72</v>
      </c>
      <c r="B19">
        <v>0.9</v>
      </c>
      <c r="C19">
        <v>0</v>
      </c>
      <c r="D19">
        <v>3323</v>
      </c>
      <c r="E19">
        <f t="shared" si="0"/>
        <v>3323</v>
      </c>
      <c r="F19">
        <f t="shared" si="1"/>
        <v>3.323</v>
      </c>
      <c r="G19">
        <f t="shared" si="2"/>
        <v>32.59863</v>
      </c>
    </row>
    <row r="20" spans="1:7">
      <c r="A20">
        <v>23.58</v>
      </c>
      <c r="B20">
        <v>0.95</v>
      </c>
      <c r="C20">
        <v>0</v>
      </c>
      <c r="D20">
        <v>3488</v>
      </c>
      <c r="E20">
        <f t="shared" si="0"/>
        <v>3488</v>
      </c>
      <c r="F20">
        <f t="shared" si="1"/>
        <v>3.488</v>
      </c>
      <c r="G20">
        <f t="shared" si="2"/>
        <v>34.217280000000002</v>
      </c>
    </row>
    <row r="21" spans="1:7">
      <c r="A21">
        <v>23.49</v>
      </c>
      <c r="B21">
        <v>1</v>
      </c>
      <c r="C21">
        <v>0</v>
      </c>
      <c r="D21">
        <v>3591</v>
      </c>
      <c r="E21">
        <f t="shared" si="0"/>
        <v>3591</v>
      </c>
      <c r="F21">
        <f t="shared" si="1"/>
        <v>3.5910000000000002</v>
      </c>
      <c r="G21">
        <f t="shared" si="2"/>
        <v>35.227710000000002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Normal="100" workbookViewId="0">
      <selection activeCell="C21" sqref="C2:C21"/>
    </sheetView>
  </sheetViews>
  <sheetFormatPr defaultColWidth="11.5703125" defaultRowHeight="12.75"/>
  <cols>
    <col min="1" max="1" width="24.140625" customWidth="1"/>
    <col min="2" max="2" width="24.42578125" customWidth="1"/>
    <col min="3" max="3" width="25.140625" customWidth="1"/>
    <col min="4" max="4" width="24.7109375" customWidth="1"/>
    <col min="5" max="5" width="21.7109375" customWidth="1"/>
    <col min="6" max="6" width="22.5703125" customWidth="1"/>
    <col min="7" max="7" width="23.140625" customWidth="1"/>
  </cols>
  <sheetData>
    <row r="1" spans="1:7" ht="71.65000000000000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23.72</v>
      </c>
      <c r="B2">
        <v>0.05</v>
      </c>
      <c r="C2">
        <v>0</v>
      </c>
      <c r="D2">
        <v>70</v>
      </c>
      <c r="E2">
        <f t="shared" ref="E2:E21" si="0">SUM(D2,-1*C2)</f>
        <v>70</v>
      </c>
      <c r="F2">
        <f t="shared" ref="F2:F21" si="1">E2/1000</f>
        <v>7.0000000000000007E-2</v>
      </c>
      <c r="G2">
        <f t="shared" ref="G2:G21" si="2">F2*9.81</f>
        <v>0.68670000000000009</v>
      </c>
    </row>
    <row r="3" spans="1:7">
      <c r="A3">
        <v>23.72</v>
      </c>
      <c r="B3">
        <v>0.1</v>
      </c>
      <c r="C3">
        <v>0</v>
      </c>
      <c r="D3">
        <v>140</v>
      </c>
      <c r="E3">
        <f t="shared" si="0"/>
        <v>140</v>
      </c>
      <c r="F3">
        <f t="shared" si="1"/>
        <v>0.14000000000000001</v>
      </c>
      <c r="G3">
        <f t="shared" si="2"/>
        <v>1.3734000000000002</v>
      </c>
    </row>
    <row r="4" spans="1:7">
      <c r="A4">
        <v>23.73</v>
      </c>
      <c r="B4">
        <v>0.15</v>
      </c>
      <c r="C4">
        <v>0</v>
      </c>
      <c r="D4">
        <v>200</v>
      </c>
      <c r="E4">
        <f t="shared" si="0"/>
        <v>200</v>
      </c>
      <c r="F4">
        <f t="shared" si="1"/>
        <v>0.2</v>
      </c>
      <c r="G4">
        <f t="shared" si="2"/>
        <v>1.9620000000000002</v>
      </c>
    </row>
    <row r="5" spans="1:7">
      <c r="A5">
        <v>23.73</v>
      </c>
      <c r="B5">
        <v>0.2</v>
      </c>
      <c r="C5">
        <v>0</v>
      </c>
      <c r="D5">
        <v>320</v>
      </c>
      <c r="E5">
        <f t="shared" si="0"/>
        <v>320</v>
      </c>
      <c r="F5">
        <f t="shared" si="1"/>
        <v>0.32</v>
      </c>
      <c r="G5">
        <f t="shared" si="2"/>
        <v>3.1392000000000002</v>
      </c>
    </row>
    <row r="6" spans="1:7">
      <c r="A6">
        <v>23.73</v>
      </c>
      <c r="B6">
        <v>0.25</v>
      </c>
      <c r="C6">
        <v>0</v>
      </c>
      <c r="D6">
        <v>400</v>
      </c>
      <c r="E6">
        <f t="shared" si="0"/>
        <v>400</v>
      </c>
      <c r="F6">
        <f t="shared" si="1"/>
        <v>0.4</v>
      </c>
      <c r="G6">
        <f t="shared" si="2"/>
        <v>3.9240000000000004</v>
      </c>
    </row>
    <row r="7" spans="1:7">
      <c r="A7">
        <v>23.73</v>
      </c>
      <c r="B7">
        <v>0.3</v>
      </c>
      <c r="C7">
        <v>0</v>
      </c>
      <c r="D7">
        <v>530</v>
      </c>
      <c r="E7">
        <f t="shared" si="0"/>
        <v>530</v>
      </c>
      <c r="F7">
        <f t="shared" si="1"/>
        <v>0.53</v>
      </c>
      <c r="G7">
        <f t="shared" si="2"/>
        <v>5.1993000000000009</v>
      </c>
    </row>
    <row r="8" spans="1:7">
      <c r="A8">
        <v>23.74</v>
      </c>
      <c r="B8">
        <v>0.35</v>
      </c>
      <c r="C8">
        <v>0</v>
      </c>
      <c r="D8">
        <v>675</v>
      </c>
      <c r="E8">
        <f t="shared" si="0"/>
        <v>675</v>
      </c>
      <c r="F8">
        <f t="shared" si="1"/>
        <v>0.67500000000000004</v>
      </c>
      <c r="G8">
        <f t="shared" si="2"/>
        <v>6.6217500000000005</v>
      </c>
    </row>
    <row r="9" spans="1:7">
      <c r="A9">
        <v>23.77</v>
      </c>
      <c r="B9">
        <v>0.4</v>
      </c>
      <c r="C9">
        <v>0</v>
      </c>
      <c r="D9">
        <v>803</v>
      </c>
      <c r="E9">
        <f t="shared" si="0"/>
        <v>803</v>
      </c>
      <c r="F9">
        <f t="shared" si="1"/>
        <v>0.80300000000000005</v>
      </c>
      <c r="G9">
        <f t="shared" si="2"/>
        <v>7.8774300000000013</v>
      </c>
    </row>
    <row r="10" spans="1:7">
      <c r="A10">
        <v>23.81</v>
      </c>
      <c r="B10">
        <v>0.45</v>
      </c>
      <c r="C10">
        <v>0</v>
      </c>
      <c r="D10">
        <v>1021</v>
      </c>
      <c r="E10">
        <f t="shared" si="0"/>
        <v>1021</v>
      </c>
      <c r="F10">
        <f t="shared" si="1"/>
        <v>1.0209999999999999</v>
      </c>
      <c r="G10">
        <f t="shared" si="2"/>
        <v>10.01601</v>
      </c>
    </row>
    <row r="11" spans="1:7">
      <c r="A11">
        <v>23.86</v>
      </c>
      <c r="B11">
        <v>0.5</v>
      </c>
      <c r="C11">
        <v>0</v>
      </c>
      <c r="D11">
        <v>1259</v>
      </c>
      <c r="E11">
        <f t="shared" si="0"/>
        <v>1259</v>
      </c>
      <c r="F11">
        <f t="shared" si="1"/>
        <v>1.2589999999999999</v>
      </c>
      <c r="G11">
        <f t="shared" si="2"/>
        <v>12.35079</v>
      </c>
    </row>
    <row r="12" spans="1:7">
      <c r="A12">
        <v>23.86</v>
      </c>
      <c r="B12">
        <v>0.55000000000000004</v>
      </c>
      <c r="C12">
        <v>0</v>
      </c>
      <c r="D12">
        <v>1492</v>
      </c>
      <c r="E12">
        <f t="shared" si="0"/>
        <v>1492</v>
      </c>
      <c r="F12">
        <f t="shared" si="1"/>
        <v>1.492</v>
      </c>
      <c r="G12">
        <f t="shared" si="2"/>
        <v>14.636520000000001</v>
      </c>
    </row>
    <row r="13" spans="1:7">
      <c r="A13">
        <v>23.89</v>
      </c>
      <c r="B13">
        <v>0.6</v>
      </c>
      <c r="C13">
        <v>0</v>
      </c>
      <c r="D13">
        <v>1722</v>
      </c>
      <c r="E13">
        <f t="shared" si="0"/>
        <v>1722</v>
      </c>
      <c r="F13">
        <f t="shared" si="1"/>
        <v>1.722</v>
      </c>
      <c r="G13">
        <f t="shared" si="2"/>
        <v>16.89282</v>
      </c>
    </row>
    <row r="14" spans="1:7">
      <c r="A14">
        <v>24</v>
      </c>
      <c r="B14">
        <v>0.65</v>
      </c>
      <c r="C14">
        <v>0</v>
      </c>
      <c r="D14">
        <v>1956</v>
      </c>
      <c r="E14">
        <f t="shared" si="0"/>
        <v>1956</v>
      </c>
      <c r="F14">
        <f t="shared" si="1"/>
        <v>1.956</v>
      </c>
      <c r="G14">
        <f t="shared" si="2"/>
        <v>19.188359999999999</v>
      </c>
    </row>
    <row r="15" spans="1:7">
      <c r="A15">
        <v>24.09</v>
      </c>
      <c r="B15">
        <v>0.7</v>
      </c>
      <c r="C15">
        <v>0</v>
      </c>
      <c r="D15">
        <v>2185</v>
      </c>
      <c r="E15">
        <f t="shared" si="0"/>
        <v>2185</v>
      </c>
      <c r="F15">
        <f t="shared" si="1"/>
        <v>2.1850000000000001</v>
      </c>
      <c r="G15">
        <f t="shared" si="2"/>
        <v>21.434850000000001</v>
      </c>
    </row>
    <row r="16" spans="1:7">
      <c r="A16">
        <v>24.24</v>
      </c>
      <c r="B16">
        <v>0.75</v>
      </c>
      <c r="C16">
        <v>0</v>
      </c>
      <c r="D16">
        <v>2458</v>
      </c>
      <c r="E16">
        <f t="shared" si="0"/>
        <v>2458</v>
      </c>
      <c r="F16">
        <f t="shared" si="1"/>
        <v>2.4580000000000002</v>
      </c>
      <c r="G16">
        <f t="shared" si="2"/>
        <v>24.112980000000004</v>
      </c>
    </row>
    <row r="17" spans="1:7">
      <c r="A17">
        <v>24.42</v>
      </c>
      <c r="B17">
        <v>0.8</v>
      </c>
      <c r="C17">
        <v>0</v>
      </c>
      <c r="D17">
        <v>2750</v>
      </c>
      <c r="E17">
        <f t="shared" si="0"/>
        <v>2750</v>
      </c>
      <c r="F17">
        <f t="shared" si="1"/>
        <v>2.75</v>
      </c>
      <c r="G17">
        <f t="shared" si="2"/>
        <v>26.977500000000003</v>
      </c>
    </row>
    <row r="18" spans="1:7">
      <c r="A18">
        <v>24.45</v>
      </c>
      <c r="B18">
        <v>0.85</v>
      </c>
      <c r="C18">
        <v>0</v>
      </c>
      <c r="D18">
        <v>3063</v>
      </c>
      <c r="E18">
        <f t="shared" si="0"/>
        <v>3063</v>
      </c>
      <c r="F18">
        <f t="shared" si="1"/>
        <v>3.0630000000000002</v>
      </c>
      <c r="G18">
        <f t="shared" si="2"/>
        <v>30.048030000000004</v>
      </c>
    </row>
    <row r="19" spans="1:7">
      <c r="A19">
        <v>24.69</v>
      </c>
      <c r="B19">
        <v>0.9</v>
      </c>
      <c r="C19">
        <v>0</v>
      </c>
      <c r="D19">
        <v>3323</v>
      </c>
      <c r="E19">
        <f t="shared" si="0"/>
        <v>3323</v>
      </c>
      <c r="F19">
        <f t="shared" si="1"/>
        <v>3.323</v>
      </c>
      <c r="G19">
        <f t="shared" si="2"/>
        <v>32.59863</v>
      </c>
    </row>
    <row r="20" spans="1:7">
      <c r="A20">
        <v>24.8</v>
      </c>
      <c r="B20">
        <v>0.95</v>
      </c>
      <c r="C20">
        <v>0</v>
      </c>
      <c r="D20">
        <v>3488</v>
      </c>
      <c r="E20">
        <f t="shared" si="0"/>
        <v>3488</v>
      </c>
      <c r="F20">
        <f t="shared" si="1"/>
        <v>3.488</v>
      </c>
      <c r="G20">
        <f t="shared" si="2"/>
        <v>34.217280000000002</v>
      </c>
    </row>
    <row r="21" spans="1:7">
      <c r="A21">
        <v>24.82</v>
      </c>
      <c r="B21">
        <v>1</v>
      </c>
      <c r="C21">
        <v>0</v>
      </c>
      <c r="D21">
        <v>3591</v>
      </c>
      <c r="E21">
        <f t="shared" si="0"/>
        <v>3591</v>
      </c>
      <c r="F21">
        <f t="shared" si="1"/>
        <v>3.5910000000000002</v>
      </c>
      <c r="G21">
        <f t="shared" si="2"/>
        <v>35.227710000000002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zoomScaleNormal="100" workbookViewId="0">
      <selection activeCell="C21" sqref="C2:C21"/>
    </sheetView>
  </sheetViews>
  <sheetFormatPr defaultColWidth="11.5703125" defaultRowHeight="12.75"/>
  <cols>
    <col min="1" max="1" width="24.140625" customWidth="1"/>
    <col min="2" max="2" width="24.42578125" customWidth="1"/>
    <col min="3" max="3" width="25.140625" customWidth="1"/>
    <col min="4" max="4" width="24.7109375" customWidth="1"/>
    <col min="5" max="5" width="21.7109375" customWidth="1"/>
    <col min="6" max="6" width="19.42578125" customWidth="1"/>
    <col min="7" max="7" width="20" customWidth="1"/>
  </cols>
  <sheetData>
    <row r="1" spans="1:7" ht="71.65000000000000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24.93</v>
      </c>
      <c r="B2">
        <v>0.05</v>
      </c>
      <c r="C2">
        <v>0</v>
      </c>
      <c r="D2">
        <v>70</v>
      </c>
      <c r="E2">
        <f t="shared" ref="E2:E21" si="0">SUM(D2,-1*C2)</f>
        <v>70</v>
      </c>
      <c r="F2">
        <f t="shared" ref="F2:F21" si="1">E2/1000</f>
        <v>7.0000000000000007E-2</v>
      </c>
      <c r="G2">
        <f t="shared" ref="G2:G21" si="2">F2*9.81</f>
        <v>0.68670000000000009</v>
      </c>
    </row>
    <row r="3" spans="1:7">
      <c r="A3">
        <v>24.85</v>
      </c>
      <c r="B3">
        <v>0.1</v>
      </c>
      <c r="C3">
        <v>0</v>
      </c>
      <c r="D3">
        <v>140</v>
      </c>
      <c r="E3">
        <f t="shared" si="0"/>
        <v>140</v>
      </c>
      <c r="F3">
        <f t="shared" si="1"/>
        <v>0.14000000000000001</v>
      </c>
      <c r="G3">
        <f t="shared" si="2"/>
        <v>1.3734000000000002</v>
      </c>
    </row>
    <row r="4" spans="1:7">
      <c r="A4">
        <v>24.74</v>
      </c>
      <c r="B4">
        <v>0.15</v>
      </c>
      <c r="C4">
        <v>0</v>
      </c>
      <c r="D4">
        <v>200</v>
      </c>
      <c r="E4">
        <f t="shared" si="0"/>
        <v>200</v>
      </c>
      <c r="F4">
        <f t="shared" si="1"/>
        <v>0.2</v>
      </c>
      <c r="G4">
        <f t="shared" si="2"/>
        <v>1.9620000000000002</v>
      </c>
    </row>
    <row r="5" spans="1:7">
      <c r="A5">
        <v>24.82</v>
      </c>
      <c r="B5">
        <v>0.2</v>
      </c>
      <c r="C5">
        <v>0</v>
      </c>
      <c r="D5">
        <v>320</v>
      </c>
      <c r="E5">
        <f t="shared" si="0"/>
        <v>320</v>
      </c>
      <c r="F5">
        <f t="shared" si="1"/>
        <v>0.32</v>
      </c>
      <c r="G5">
        <f t="shared" si="2"/>
        <v>3.1392000000000002</v>
      </c>
    </row>
    <row r="6" spans="1:7">
      <c r="A6">
        <v>24.79</v>
      </c>
      <c r="B6">
        <v>0.25</v>
      </c>
      <c r="C6">
        <v>0</v>
      </c>
      <c r="D6">
        <v>400</v>
      </c>
      <c r="E6">
        <f t="shared" si="0"/>
        <v>400</v>
      </c>
      <c r="F6">
        <f t="shared" si="1"/>
        <v>0.4</v>
      </c>
      <c r="G6">
        <f t="shared" si="2"/>
        <v>3.9240000000000004</v>
      </c>
    </row>
    <row r="7" spans="1:7">
      <c r="A7">
        <v>24.74</v>
      </c>
      <c r="B7">
        <v>0.3</v>
      </c>
      <c r="C7">
        <v>0</v>
      </c>
      <c r="D7">
        <v>530</v>
      </c>
      <c r="E7">
        <f t="shared" si="0"/>
        <v>530</v>
      </c>
      <c r="F7">
        <f t="shared" si="1"/>
        <v>0.53</v>
      </c>
      <c r="G7">
        <f t="shared" si="2"/>
        <v>5.1993000000000009</v>
      </c>
    </row>
    <row r="8" spans="1:7">
      <c r="A8">
        <v>24.63</v>
      </c>
      <c r="B8">
        <v>0.35</v>
      </c>
      <c r="C8">
        <v>0</v>
      </c>
      <c r="D8">
        <v>675</v>
      </c>
      <c r="E8">
        <f t="shared" si="0"/>
        <v>675</v>
      </c>
      <c r="F8">
        <f t="shared" si="1"/>
        <v>0.67500000000000004</v>
      </c>
      <c r="G8">
        <f t="shared" si="2"/>
        <v>6.6217500000000005</v>
      </c>
    </row>
    <row r="9" spans="1:7">
      <c r="A9">
        <v>24.54</v>
      </c>
      <c r="B9">
        <v>0.4</v>
      </c>
      <c r="C9">
        <v>0</v>
      </c>
      <c r="D9">
        <v>803</v>
      </c>
      <c r="E9">
        <f t="shared" si="0"/>
        <v>803</v>
      </c>
      <c r="F9">
        <f t="shared" si="1"/>
        <v>0.80300000000000005</v>
      </c>
      <c r="G9">
        <f t="shared" si="2"/>
        <v>7.8774300000000013</v>
      </c>
    </row>
    <row r="10" spans="1:7">
      <c r="A10">
        <v>24.5</v>
      </c>
      <c r="B10">
        <v>0.45</v>
      </c>
      <c r="C10">
        <v>0</v>
      </c>
      <c r="D10">
        <v>1021</v>
      </c>
      <c r="E10">
        <f t="shared" si="0"/>
        <v>1021</v>
      </c>
      <c r="F10">
        <f t="shared" si="1"/>
        <v>1.0209999999999999</v>
      </c>
      <c r="G10">
        <f t="shared" si="2"/>
        <v>10.01601</v>
      </c>
    </row>
    <row r="11" spans="1:7">
      <c r="A11">
        <v>24.45</v>
      </c>
      <c r="B11">
        <v>0.5</v>
      </c>
      <c r="C11">
        <v>0</v>
      </c>
      <c r="D11">
        <v>1259</v>
      </c>
      <c r="E11">
        <f t="shared" si="0"/>
        <v>1259</v>
      </c>
      <c r="F11">
        <f t="shared" si="1"/>
        <v>1.2589999999999999</v>
      </c>
      <c r="G11">
        <f t="shared" si="2"/>
        <v>12.35079</v>
      </c>
    </row>
    <row r="12" spans="1:7">
      <c r="A12">
        <v>24.41</v>
      </c>
      <c r="B12">
        <v>0.55000000000000004</v>
      </c>
      <c r="C12">
        <v>0</v>
      </c>
      <c r="D12">
        <v>1492</v>
      </c>
      <c r="E12">
        <f t="shared" si="0"/>
        <v>1492</v>
      </c>
      <c r="F12">
        <f t="shared" si="1"/>
        <v>1.492</v>
      </c>
      <c r="G12">
        <f t="shared" si="2"/>
        <v>14.636520000000001</v>
      </c>
    </row>
    <row r="13" spans="1:7">
      <c r="A13">
        <v>24.38</v>
      </c>
      <c r="B13">
        <v>0.6</v>
      </c>
      <c r="C13">
        <v>0</v>
      </c>
      <c r="D13">
        <v>1722</v>
      </c>
      <c r="E13">
        <f t="shared" si="0"/>
        <v>1722</v>
      </c>
      <c r="F13">
        <f t="shared" si="1"/>
        <v>1.722</v>
      </c>
      <c r="G13">
        <f t="shared" si="2"/>
        <v>16.89282</v>
      </c>
    </row>
    <row r="14" spans="1:7">
      <c r="A14">
        <v>24.36</v>
      </c>
      <c r="B14">
        <v>0.65</v>
      </c>
      <c r="C14">
        <v>0</v>
      </c>
      <c r="D14">
        <v>1956</v>
      </c>
      <c r="E14">
        <f t="shared" si="0"/>
        <v>1956</v>
      </c>
      <c r="F14">
        <f t="shared" si="1"/>
        <v>1.956</v>
      </c>
      <c r="G14">
        <f t="shared" si="2"/>
        <v>19.188359999999999</v>
      </c>
    </row>
    <row r="15" spans="1:7">
      <c r="A15">
        <v>24.36</v>
      </c>
      <c r="B15">
        <v>0.7</v>
      </c>
      <c r="C15">
        <v>0</v>
      </c>
      <c r="D15">
        <v>2185</v>
      </c>
      <c r="E15">
        <f t="shared" si="0"/>
        <v>2185</v>
      </c>
      <c r="F15">
        <f t="shared" si="1"/>
        <v>2.1850000000000001</v>
      </c>
      <c r="G15">
        <f t="shared" si="2"/>
        <v>21.434850000000001</v>
      </c>
    </row>
    <row r="16" spans="1:7">
      <c r="A16">
        <v>24.23</v>
      </c>
      <c r="B16">
        <v>0.75</v>
      </c>
      <c r="C16">
        <v>0</v>
      </c>
      <c r="D16">
        <v>2458</v>
      </c>
      <c r="E16">
        <f t="shared" si="0"/>
        <v>2458</v>
      </c>
      <c r="F16">
        <f t="shared" si="1"/>
        <v>2.4580000000000002</v>
      </c>
      <c r="G16">
        <f t="shared" si="2"/>
        <v>24.112980000000004</v>
      </c>
    </row>
    <row r="17" spans="1:7">
      <c r="A17">
        <v>24.05</v>
      </c>
      <c r="B17">
        <v>0.8</v>
      </c>
      <c r="C17">
        <v>0</v>
      </c>
      <c r="D17">
        <v>2750</v>
      </c>
      <c r="E17">
        <f t="shared" si="0"/>
        <v>2750</v>
      </c>
      <c r="F17">
        <f t="shared" si="1"/>
        <v>2.75</v>
      </c>
      <c r="G17">
        <f t="shared" si="2"/>
        <v>26.977500000000003</v>
      </c>
    </row>
    <row r="18" spans="1:7">
      <c r="A18">
        <v>23.87</v>
      </c>
      <c r="B18">
        <v>0.85</v>
      </c>
      <c r="C18">
        <v>0</v>
      </c>
      <c r="D18">
        <v>3063</v>
      </c>
      <c r="E18">
        <f t="shared" si="0"/>
        <v>3063</v>
      </c>
      <c r="F18">
        <f t="shared" si="1"/>
        <v>3.0630000000000002</v>
      </c>
      <c r="G18">
        <f t="shared" si="2"/>
        <v>30.048030000000004</v>
      </c>
    </row>
    <row r="19" spans="1:7">
      <c r="A19">
        <v>23.85</v>
      </c>
      <c r="B19">
        <v>0.9</v>
      </c>
      <c r="C19">
        <v>0</v>
      </c>
      <c r="D19">
        <v>3323</v>
      </c>
      <c r="E19">
        <f t="shared" si="0"/>
        <v>3323</v>
      </c>
      <c r="F19">
        <f t="shared" si="1"/>
        <v>3.323</v>
      </c>
      <c r="G19">
        <f t="shared" si="2"/>
        <v>32.59863</v>
      </c>
    </row>
    <row r="20" spans="1:7">
      <c r="A20">
        <v>23.79</v>
      </c>
      <c r="B20">
        <v>0.95</v>
      </c>
      <c r="C20">
        <v>0</v>
      </c>
      <c r="D20">
        <v>3488</v>
      </c>
      <c r="E20">
        <f t="shared" si="0"/>
        <v>3488</v>
      </c>
      <c r="F20">
        <f t="shared" si="1"/>
        <v>3.488</v>
      </c>
      <c r="G20">
        <f t="shared" si="2"/>
        <v>34.217280000000002</v>
      </c>
    </row>
    <row r="21" spans="1:7">
      <c r="A21">
        <v>23.76</v>
      </c>
      <c r="B21">
        <v>1</v>
      </c>
      <c r="C21">
        <v>0</v>
      </c>
      <c r="D21">
        <v>3591</v>
      </c>
      <c r="E21">
        <f t="shared" si="0"/>
        <v>3591</v>
      </c>
      <c r="F21">
        <f t="shared" si="1"/>
        <v>3.5910000000000002</v>
      </c>
      <c r="G21">
        <f t="shared" si="2"/>
        <v>35.227710000000002</v>
      </c>
    </row>
  </sheetData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1</vt:lpstr>
      <vt:lpstr>Run 2</vt:lpstr>
      <vt:lpstr>Run 3</vt:lpstr>
      <vt:lpstr>Run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Kumar, Giri Mugundan</cp:lastModifiedBy>
  <cp:revision>18</cp:revision>
  <dcterms:created xsi:type="dcterms:W3CDTF">2024-05-09T13:02:34Z</dcterms:created>
  <dcterms:modified xsi:type="dcterms:W3CDTF">2026-04-20T20:09:32Z</dcterms:modified>
  <dc:language>en-US</dc:language>
</cp:coreProperties>
</file>